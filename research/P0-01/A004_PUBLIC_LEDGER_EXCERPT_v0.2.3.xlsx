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24df9a725c4e73" /></Relationships>
</file>

<file path=xl/workbook.xml><?xml version="1.0" encoding="utf-8"?>
<x:workbook xmlns:x="http://schemas.openxmlformats.org/spreadsheetml/2006/main">
  <x:sheets>
    <x:sheet xmlns:r="http://schemas.openxmlformats.org/officeDocument/2006/relationships" name="概要" sheetId="1" r:id="Rc5fb59aad20e42d1"/>
    <x:sheet xmlns:r="http://schemas.openxmlformats.org/officeDocument/2006/relationships" name="公開範囲" sheetId="2" r:id="Rd1d6925b8f3d4c21"/>
    <x:sheet xmlns:r="http://schemas.openxmlformats.org/officeDocument/2006/relationships" name="公開対象台帳" sheetId="3" r:id="R5d7ec7ee59f44110"/>
    <x:sheet xmlns:r="http://schemas.openxmlformats.org/officeDocument/2006/relationships" name="公開Claim-Evidence" sheetId="4" r:id="R27d0934e98a145a9"/>
    <x:sheet xmlns:r="http://schemas.openxmlformats.org/officeDocument/2006/relationships" name="公開出典索引" sheetId="5" r:id="Re9c12eee086a40b3"/>
    <x:sheet xmlns:r="http://schemas.openxmlformats.org/officeDocument/2006/relationships" name="区分定義" sheetId="6" r:id="R811aa3c859134628"/>
    <x:sheet xmlns:r="http://schemas.openxmlformats.org/officeDocument/2006/relationships" name="追跡情報不足" sheetId="7" r:id="Rb90210c9ef5b40ea"/>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1"/>
      <x:name val="Carlito"/>
    </x:font>
    <x:font>
      <x:b/>
      <x:sz val="11"/>
      <x:color rgb="FFFFFFFF"/>
      <x:name val="Carlito"/>
    </x:font>
    <x:font>
      <x:b/>
      <x:sz val="15"/>
      <x:color rgb="FFFFFFFF"/>
      <x:name val="Carlito"/>
    </x:font>
    <x:font>
      <x:sz val="10"/>
      <x:color rgb="FF1F2937"/>
      <x:name val="Carlito"/>
    </x:font>
    <x:font>
      <x:b/>
      <x:sz val="10"/>
      <x:color rgb="FFFFFFFF"/>
      <x:name val="Carlito"/>
    </x:font>
    <x:font>
      <x:sz val="9"/>
      <x:color rgb="FF111827"/>
      <x:name val="Carlito"/>
    </x:font>
    <x:font>
      <x:b/>
      <x:sz val="11"/>
      <x:color rgb="FF123E5A"/>
      <x:name val="Carlito"/>
    </x:font>
  </x:fonts>
  <x:fills count="12">
    <x:fill>
      <x:patternFill patternType="none"/>
    </x:fill>
    <x:fill>
      <x:patternFill patternType="gray125"/>
    </x:fill>
    <x:fill>
      <x:patternFill patternType="solid">
        <x:fgColor rgb="FF183A5A"/>
      </x:patternFill>
    </x:fill>
    <x:fill>
      <x:patternFill patternType="solid">
        <x:fgColor rgb="FFDCEAF3"/>
      </x:patternFill>
    </x:fill>
    <x:fill>
      <x:patternFill patternType="solid">
        <x:fgColor rgb="FF2E5D7B"/>
      </x:patternFill>
    </x:fill>
    <x:fill>
      <x:patternFill patternType="solid">
        <x:fgColor rgb="FFF4F7F9"/>
      </x:patternFill>
    </x:fill>
    <x:fill>
      <x:patternFill patternType="solid">
        <x:fgColor rgb="FF123E5A"/>
      </x:patternFill>
    </x:fill>
    <x:fill>
      <x:patternFill patternType="solid">
        <x:fgColor rgb="FFE8F3F8"/>
      </x:patternFill>
    </x:fill>
    <x:fill>
      <x:patternFill patternType="solid">
        <x:fgColor rgb="FF17627D"/>
      </x:patternFill>
    </x:fill>
    <x:fill>
      <x:patternFill patternType="solid">
        <x:fgColor rgb="FFC8E8F4"/>
      </x:patternFill>
    </x:fill>
    <x:fill>
      <x:patternFill patternType="solid">
        <x:fgColor rgb="FFFFFFFF"/>
      </x:patternFill>
    </x:fill>
    <x:fill>
      <x:patternFill patternType="solid">
        <x:fgColor rgb="FFD9EAF2"/>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0"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6"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x:xf numFmtId="0" fontId="1" fillId="6" borderId="0" xfId="0" applyNumberFormat="1" applyFont="1" applyFill="1" applyBorder="1" applyAlignment="1">
      <x:alignment horizontal="center" vertical="center"/>
    </x:xf>
    <x:xf numFmtId="0" fontId="0" fillId="7"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x:xf numFmtId="0" fontId="5" fillId="7" borderId="0" xfId="0" applyNumberFormat="1" applyFont="1" applyFill="1" applyBorder="1" applyAlignment="1">
      <x:alignment horizontal="left" wrapText="1"/>
    </x:xf>
    <x:xf numFmtId="0" fontId="5" fillId="7" borderId="0" xfId="0" applyNumberFormat="1" applyFont="1" applyFill="1" applyBorder="1" applyAlignment="1">
      <x:alignment horizontal="left" vertical="center" wrapText="1"/>
    </x:xf>
    <x:xf numFmtId="0" fontId="3" fillId="8" borderId="0"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applyAlignment="1">
      <x:alignment horizontal="center" wrapText="1"/>
    </x:xf>
    <x:xf numFmtId="0" fontId="6" fillId="8" borderId="0" xfId="0" applyNumberFormat="1" applyFont="1" applyFill="1" applyBorder="1"/>
    <x:xf numFmtId="0" fontId="6" fillId="8" xfId="0" applyNumberFormat="1" applyFont="1" applyFill="1" applyBorder="0" applyAlignment="1">
      <x:alignment horizontal="center" wrapText="1"/>
    </x:xf>
    <x:xf numFmtId="0" fontId="6" fillId="8" xfId="0" applyNumberFormat="1" applyFont="1" applyFill="1" applyBorder="0"/>
    <x:xf numFmtId="0" fontId="6" fillId="8" xfId="0" applyNumberFormat="1" applyFont="1" applyFill="1" applyBorder="0" applyAlignment="1">
      <x:alignment wrapText="1"/>
    </x:xf>
    <x:xf numFmtId="0" fontId="6" fillId="8" xfId="0" applyNumberFormat="1" applyFont="1" applyFill="1" applyBorder="0" applyAlignment="1">
      <x:alignment horizontal="center" vertical="center" wrapText="1"/>
    </x:xf>
    <x:xf numFmtId="0" fontId="7" fillId="0" borderId="0" xfId="0" applyNumberFormat="1" applyFont="1" applyFill="1" applyBorder="1" applyAlignment="1">
      <x:alignment vertical="top" wrapText="1"/>
    </x:xf>
    <x:xf numFmtId="0" fontId="7" fillId="0" borderId="0" xfId="0" applyNumberFormat="1" applyFont="1" applyFill="1" applyBorder="1"/>
    <x:xf numFmtId="0" fontId="7" fillId="0" xfId="0" applyNumberFormat="1" applyFont="1" applyFill="1" applyBorder="0" applyAlignment="1">
      <x:alignment vertical="top" wrapText="1"/>
    </x:xf>
    <x:xf numFmtId="0" fontId="7" fillId="0" xfId="0" applyNumberFormat="1" applyFont="1" applyFill="1" applyBorder="0"/>
    <x:xf numFmtId="0" fontId="7" fillId="0" xfId="0" applyNumberFormat="1" applyFont="1" applyFill="1" applyBorder="0" applyAlignment="1">
      <x:alignment wrapText="1"/>
    </x:xf>
    <x:xf numFmtId="0" fontId="7" fillId="9" xfId="0" applyNumberFormat="1" applyFont="1" applyFill="1" applyBorder="0" applyAlignment="1">
      <x:alignment vertical="top" wrapText="1"/>
    </x:xf>
    <x:xf numFmtId="0" fontId="7" fillId="10" xfId="0" applyNumberFormat="1" applyFont="1" applyFill="1" applyBorder="0" applyAlignment="1">
      <x:alignment vertical="top" wrapText="1"/>
    </x:xf>
    <x:xf numFmtId="0" fontId="0" fillId="11" borderId="0" xfId="0" applyNumberFormat="1" applyFont="1" applyFill="1" applyBorder="1"/>
    <x:xf numFmtId="0" fontId="8" fillId="11" borderId="0" xfId="0" applyNumberFormat="1" applyFont="1" applyFill="1" applyBorder="1"/>
    <x:xf numFmtId="0" fontId="8" fillId="11" xfId="0" applyNumberFormat="1" applyFont="1" applyFill="1" applyBorder="0"/>
  </x:cellXfs>
  <x:cellStyles count="1">
    <x:cellStyle name="Normal" xfId="0"/>
  </x:cellStyles>
  <x:dxfs count="7">
    <x:dxf>
      <x:font>
        <x:color rgb="FF274E13"/>
      </x:font>
      <x:fill>
        <x:patternFill>
          <x:bgColor rgb="FFD9EAD3"/>
        </x:patternFill>
      </x:fill>
    </x:dxf>
    <x:dxf>
      <x:font>
        <x:color rgb="FF7F6000"/>
      </x:font>
      <x:fill>
        <x:patternFill>
          <x:bgColor rgb="FFFFF2CC"/>
        </x:patternFill>
      </x:fill>
    </x:dxf>
    <x:dxf>
      <x:font>
        <x:color rgb="FF990000"/>
      </x:font>
      <x:fill>
        <x:patternFill>
          <x:bgColor rgb="FFF4CCCC"/>
        </x:patternFill>
      </x:fill>
    </x:dxf>
    <x:dxf>
      <x:font>
        <x:color rgb="FF990000"/>
      </x:font>
      <x:fill>
        <x:patternFill>
          <x:bgColor rgb="FFF4CCCC"/>
        </x:patternFill>
      </x:fill>
    </x:dxf>
    <x:dxf>
      <x:font>
        <x:color rgb="FF7F6000"/>
      </x:font>
      <x:fill>
        <x:patternFill>
          <x:bgColor rgb="FFFFF2CC"/>
        </x:patternFill>
      </x:fill>
    </x:dxf>
    <x:dxf>
      <x:font>
        <x:b/>
        <x:color rgb="FF991B1B"/>
      </x:font>
      <x:fill>
        <x:patternFill>
          <x:bgColor rgb="FFFECACA"/>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f2739fd6444798" /><Relationship Type="http://schemas.openxmlformats.org/officeDocument/2006/relationships/theme" Target="/xl/theme/theme1.xml" Id="Rba6ffc3824204c9a" /><Relationship Type="http://schemas.openxmlformats.org/officeDocument/2006/relationships/sharedStrings" Target="/xl/sharedStrings.xml" Id="Re4fcb0ca0a3841d5" /><Relationship Type="http://schemas.openxmlformats.org/officeDocument/2006/relationships/worksheet" Target="/xl/worksheets/sheet1.xml" Id="Rc5fb59aad20e42d1" /><Relationship Type="http://schemas.openxmlformats.org/officeDocument/2006/relationships/worksheet" Target="/xl/worksheets/sheet2.xml" Id="Rd1d6925b8f3d4c21" /><Relationship Type="http://schemas.openxmlformats.org/officeDocument/2006/relationships/worksheet" Target="/xl/worksheets/sheet3.xml" Id="R5d7ec7ee59f44110" /><Relationship Type="http://schemas.openxmlformats.org/officeDocument/2006/relationships/worksheet" Target="/xl/worksheets/sheet4.xml" Id="R27d0934e98a145a9" /><Relationship Type="http://schemas.openxmlformats.org/officeDocument/2006/relationships/worksheet" Target="/xl/worksheets/sheet5.xml" Id="Re9c12eee086a40b3" /><Relationship Type="http://schemas.openxmlformats.org/officeDocument/2006/relationships/worksheet" Target="/xl/worksheets/sheet6.xml" Id="R811aa3c859134628" /><Relationship Type="http://schemas.openxmlformats.org/officeDocument/2006/relationships/worksheet" Target="/xl/worksheets/sheet7.xml" Id="Rb90210c9ef5b40ea" /></Relationships>
</file>

<file path=xl/tables/table1.xml><?xml version="1.0" encoding="utf-8"?>
<x:table xmlns:x="http://schemas.openxmlformats.org/spreadsheetml/2006/main" id="1" name="ScopeTable" displayName="ScopeTable" ref="A4:F12" headerRowCount="1">
  <x:tableColumns count="6">
    <x:tableColumn id="1" name="成果物・領域"/>
    <x:tableColumn id="2" name="公開区分"/>
    <x:tableColumn id="3" name="件数"/>
    <x:tableColumn id="4" name="対象ID・範囲"/>
    <x:tableColumn id="5" name="運用"/>
    <x:tableColumn id="6" name="備考"/>
  </x:tableColumns>
  <x:tableStyleInfo name="TableStyleMedium2" showRowStripes="1"/>
</x:table>
</file>

<file path=xl/tables/table2.xml><?xml version="1.0" encoding="utf-8"?>
<x:table xmlns:x="http://schemas.openxmlformats.org/spreadsheetml/2006/main" id="2" name="PublicTargets" displayName="PublicTargets" ref="A4:I28" headerRowCount="1">
  <x:tableColumns count="9">
    <x:tableColumn id="1" name="対象ID"/>
    <x:tableColumn id="2" name="主区分"/>
    <x:tableColumn id="3" name="対象"/>
    <x:tableColumn id="4" name="確認ステータス"/>
    <x:tableColumn id="5" name="現在確認できる法的・管理上の位置づけ"/>
    <x:tableColumn id="6" name="制度終了後に検討すべき論点"/>
    <x:tableColumn id="7" name="未確認事項"/>
    <x:tableColumn id="8" name="主要Source ID"/>
    <x:tableColumn id="9" name="専門確認"/>
  </x:tableColumns>
  <x:tableStyleInfo name="TableStyleMedium2" showRowStripes="1"/>
</x:table>
</file>

<file path=xl/tables/table3.xml><?xml version="1.0" encoding="utf-8"?>
<x:table xmlns:x="http://schemas.openxmlformats.org/spreadsheetml/2006/main" id="3" name="PublicCE" displayName="PublicCE" ref="A4:H44" headerRowCount="1">
  <x:tableColumns count="8">
    <x:tableColumn id="1" name="接続ID"/>
    <x:tableColumn id="2" name="TRF ID"/>
    <x:tableColumn id="3" name="Claim／列"/>
    <x:tableColumn id="4" name="Claim本文"/>
    <x:tableColumn id="5" name="Source ID"/>
    <x:tableColumn id="6" name="関係種別"/>
    <x:tableColumn id="7" name="使用箇所"/>
    <x:tableColumn id="8" name="限界"/>
  </x:tableColumns>
  <x:tableStyleInfo name="TableStyleMedium2" showRowStripes="1"/>
</x:table>
</file>

<file path=xl/tables/table4.xml><?xml version="1.0" encoding="utf-8"?>
<x:table xmlns:x="http://schemas.openxmlformats.org/spreadsheetml/2006/main" id="4" name="PublicSources" displayName="PublicSources" ref="A4:K28" headerRowCount="1">
  <x:autoFilter ref="A4:K28"/>
  <x:tableColumns count="11">
    <x:tableColumn id="1" name="Source ID"/>
    <x:tableColumn id="2" name="資料名"/>
    <x:tableColumn id="3" name="発行主体"/>
    <x:tableColumn id="4" name="URL"/>
    <x:tableColumn id="5" name="該当条文・判決名・頁・箇所"/>
    <x:tableColumn id="6" name="取得日"/>
    <x:tableColumn id="7" name="保存媒体"/>
    <x:tableColumn id="8" name="保存ファイル"/>
    <x:tableColumn id="9" name="保存SHA-256"/>
    <x:tableColumn id="10" name="追跡状態"/>
    <x:tableColumn id="11" name="利用上の注意"/>
  </x:tableColumns>
  <x:tableStyleInfo name="TableStyleMedium2" showRowStripes="1"/>
</x:table>
</file>

<file path=xl/tables/table5.xml><?xml version="1.0" encoding="utf-8"?>
<x:table xmlns:x="http://schemas.openxmlformats.org/spreadsheetml/2006/main" id="5" name="Definitions" displayName="Definitions" ref="A4:C19" headerRowCount="1">
  <x:tableColumns count="3">
    <x:tableColumn id="1" name="項目"/>
    <x:tableColumn id="2" name="種別"/>
    <x:tableColumn id="3" name="定義・運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58c1284bcf4499" /></Relationships>
</file>

<file path=xl/worksheets/_rels/sheet3.xml.rels>&#65279;<?xml version="1.0" encoding="utf-8"?><Relationships xmlns="http://schemas.openxmlformats.org/package/2006/relationships"><Relationship Type="http://schemas.openxmlformats.org/officeDocument/2006/relationships/table" Target="/xl/tables/table2.xml" Id="R80c6401fe6d54cfa" /></Relationships>
</file>

<file path=xl/worksheets/_rels/sheet4.xml.rels>&#65279;<?xml version="1.0" encoding="utf-8"?><Relationships xmlns="http://schemas.openxmlformats.org/package/2006/relationships"><Relationship Type="http://schemas.openxmlformats.org/officeDocument/2006/relationships/table" Target="/xl/tables/table3.xml" Id="R5cb1a989db9a4437" /></Relationships>
</file>

<file path=xl/worksheets/_rels/sheet5.xml.rels>&#65279;<?xml version="1.0" encoding="utf-8"?><Relationships xmlns="http://schemas.openxmlformats.org/package/2006/relationships"><Relationship Type="http://schemas.openxmlformats.org/officeDocument/2006/relationships/table" Target="/xl/tables/table4.xml" Id="Rf1a54b5bc03547a7" /></Relationships>
</file>

<file path=xl/worksheets/_rels/sheet6.xml.rels>&#65279;<?xml version="1.0" encoding="utf-8"?><Relationships xmlns="http://schemas.openxmlformats.org/package/2006/relationships"><Relationship Type="http://schemas.openxmlformats.org/officeDocument/2006/relationships/table" Target="/xl/tables/table5.xml" Id="Rabfeb3e03857468f" /></Relationships>
</file>

<file path=xl/worksheets/sheet1.xml><?xml version="1.0" encoding="utf-8"?>
<x:worksheet xmlns:x="http://schemas.openxmlformats.org/spreadsheetml/2006/main">
  <x:sheetFormatPr defaultRowHeight="15"/>
  <x:cols>
    <x:col min="1" max="1" width="22" hidden="0" customWidth="1"/>
    <x:col min="2" max="2" width="18" hidden="0" customWidth="1"/>
    <x:col min="3" max="3" width="4" hidden="0" customWidth="1"/>
    <x:col min="4" max="4" width="22" hidden="0" customWidth="1"/>
    <x:col min="5" max="5" width="34" hidden="0" customWidth="1"/>
    <x:col min="6" max="6" width="34" hidden="0" customWidth="1"/>
  </x:cols>
  <x:sheetData>
    <x:row r="1" ht="30" customHeight="1">
      <x:c r="A1" s="5" t="str">
        <x:v>A004 公開用対象・権利・機能台帳抜粋 v0.2.3</x:v>
      </x:c>
      <x:c r="B1" s="5"/>
      <x:c r="C1" s="5"/>
      <x:c r="D1" s="5"/>
      <x:c r="E1" s="5"/>
      <x:c r="F1" s="5"/>
    </x:row>
    <x:row r="2">
      <x:c r="A2" s="12" t="str">
        <x:v>Research Beta（調査中）。確認できた事実と未確認事項を分け、資料や指摘に応じて更新する研究ノートです。法律意見書ではなく、法的整理について法律専門家による個別レビューは未実施です。</x:v>
      </x:c>
      <x:c r="B2" s="12"/>
      <x:c r="C2" s="12"/>
      <x:c r="D2" s="12"/>
      <x:c r="E2" s="12"/>
      <x:c r="F2" s="12"/>
    </x:row>
    <x:row r="4">
      <x:c r="A4" s="18" t="str">
        <x:v>項目</x:v>
      </x:c>
      <x:c r="B4" s="18" t="str">
        <x:v>値</x:v>
      </x:c>
      <x:c r="D4" s="18" t="str">
        <x:v>公開時の読み方</x:v>
      </x:c>
      <x:c r="E4" s="18" t="str"/>
      <x:c r="F4" s="18" t="str"/>
    </x:row>
    <x:row r="5">
      <x:c r="A5" s="22" t="str">
        <x:v>基準日</x:v>
      </x:c>
      <x:c r="B5" s="22" t="str">
        <x:v>2026-07-30</x:v>
      </x:c>
      <x:c r="D5" s="24" t="str">
        <x:v>確認済み</x:v>
      </x:c>
      <x:c r="E5" s="24" t="str">
        <x:v>公式一次資料が主要事実を直接支える</x:v>
      </x:c>
      <x:c r="F5" s="24" t="str"/>
    </x:row>
    <x:row r="6">
      <x:c r="A6" s="22" t="str">
        <x:v>公開対象数</x:v>
      </x:c>
      <x:c r="B6" s="22" t="n">
        <x:f>COUNTA('公開対象台帳'!A5:A100)</x:f>
        <x:v>24</x:v>
      </x:c>
      <x:c r="D6" s="24" t="str">
        <x:v>限定確認</x:v>
      </x:c>
      <x:c r="E6" s="24" t="str">
        <x:v>一部事実のみ確認。対象全体・個別適用・制度終了後の実現可能性は未判定</x:v>
      </x:c>
      <x:c r="F6" s="24" t="str"/>
    </x:row>
    <x:row r="7">
      <x:c r="A7" s="22" t="str">
        <x:v>確認済み</x:v>
      </x:c>
      <x:c r="B7" s="22" t="n">
        <x:f>COUNTIF('公開対象台帳'!D5:D100,"確認済み")</x:f>
        <x:v>8</x:v>
      </x:c>
      <x:c r="D7" s="24" t="str">
        <x:v>未確認</x:v>
      </x:c>
      <x:c r="E7" s="24" t="str">
        <x:v>公式資料から判断せず、推測で補わない</x:v>
      </x:c>
      <x:c r="F7" s="24" t="str"/>
    </x:row>
    <x:row r="8">
      <x:c r="A8" s="22" t="str">
        <x:v>限定確認</x:v>
      </x:c>
      <x:c r="B8" s="22" t="n">
        <x:f>COUNTIF('公開対象台帳'!D5:D100,"限定確認")</x:f>
        <x:v>7</x:v>
      </x:c>
      <x:c r="D8" s="24" t="str">
        <x:v>専門確認 必須／要</x:v>
      </x:c>
      <x:c r="E8" s="24" t="str">
        <x:v>確定的な法的結論には専門家確認が必要</x:v>
      </x:c>
      <x:c r="F8" s="24" t="str"/>
    </x:row>
    <x:row r="9">
      <x:c r="A9" s="22" t="str">
        <x:v>未確認</x:v>
      </x:c>
      <x:c r="B9" s="22" t="n">
        <x:f>COUNTIF('公開対象台帳'!D5:D100,"未確認")</x:f>
        <x:v>9</x:v>
      </x:c>
      <x:c r="D9" s="24" t="str">
        <x:v>名称問題</x:v>
      </x:c>
      <x:c r="E9" s="24" t="str">
        <x:v>未確認＝資料確認状態、未判定＝A004の結論、直接決めない＝Sourceの射程</x:v>
      </x:c>
      <x:c r="F9" s="24" t="str"/>
    </x:row>
    <x:row r="10">
      <x:c r="A10" s="22" t="str">
        <x:v>公開Claim–Evidence数</x:v>
      </x:c>
      <x:c r="B10" s="22" t="n">
        <x:f>COUNTA('公開Claim-Evidence'!A5:A100)</x:f>
        <x:v>40</x:v>
      </x:c>
      <x:c r="D10" s="24" t="str">
        <x:v>公開範囲</x:v>
      </x:c>
      <x:c r="E10" s="24" t="str">
        <x:v>個人情報・安全情報と内部管理情報を除外</x:v>
      </x:c>
      <x:c r="F10" s="24" t="str"/>
    </x:row>
    <x:row r="11">
      <x:c r="A11" s="22" t="str">
        <x:v>Source数</x:v>
      </x:c>
      <x:c r="B11" s="22" t="n">
        <x:f>COUNTA('公開出典索引'!A5:A100)</x:f>
        <x:v>24</x:v>
      </x:c>
    </x:row>
    <x:row r="12">
      <x:c r="A12" s="22" t="str">
        <x:v>専門確認 必須</x:v>
      </x:c>
      <x:c r="B12" s="22" t="n">
        <x:f>COUNTIF('公開対象台帳'!I5:I100,"必須")</x:f>
        <x:v>13</x:v>
      </x:c>
    </x:row>
    <x:row r="13">
      <x:c r="A13" t="str">
        <x:v>Source追跡完了</x:v>
      </x:c>
      <x:c r="B13" t="n">
        <x:f>COUNTIF('追跡情報不足'!H5:H100,"PASS")</x:f>
        <x:v>24</x:v>
      </x:c>
    </x:row>
  </x:sheetData>
  <x:mergeCells>
    <x:mergeCell ref="A1:F1"/>
    <x:mergeCell ref="A2:F2"/>
    <x:mergeCell ref="D4:F4"/>
    <x:mergeCell ref="E5:F5"/>
    <x:mergeCell ref="E6:F6"/>
    <x:mergeCell ref="E7:F7"/>
    <x:mergeCell ref="E8:F8"/>
    <x:mergeCell ref="E9:F9"/>
    <x:mergeCell ref="E10:F10"/>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2" hidden="0" customWidth="1"/>
    <x:col min="3" max="3" width="10" hidden="0" customWidth="1"/>
    <x:col min="4" max="4" width="30" hidden="0" customWidth="1"/>
    <x:col min="5" max="5" width="55" hidden="0" customWidth="1"/>
    <x:col min="6" max="6" width="16" hidden="0" customWidth="1"/>
  </x:cols>
  <x:sheetData>
    <x:row r="1">
      <x:c r="A1" s="28" t="str">
        <x:v>公開対象・非公開対象の区分</x:v>
      </x:c>
      <x:c r="B1" s="28"/>
      <x:c r="C1" s="28"/>
      <x:c r="D1" s="28"/>
      <x:c r="E1" s="28"/>
      <x:c r="F1" s="28"/>
    </x:row>
    <x:row r="2">
      <x:c r="A2" s="31" t="str">
        <x:v>公開対象外の情報を推測・要約して補わず、除外理由だけを記録します。</x:v>
      </x:c>
      <x:c r="B2" s="31"/>
      <x:c r="C2" s="31"/>
      <x:c r="D2" s="31"/>
      <x:c r="E2" s="31"/>
      <x:c r="F2" s="31"/>
    </x:row>
    <x:row r="4">
      <x:c r="A4" s="34" t="str">
        <x:v>成果物・領域</x:v>
      </x:c>
      <x:c r="B4" s="34" t="str">
        <x:v>公開区分</x:v>
      </x:c>
      <x:c r="C4" s="34" t="str">
        <x:v>件数</x:v>
      </x:c>
      <x:c r="D4" s="34" t="str">
        <x:v>対象ID・範囲</x:v>
      </x:c>
      <x:c r="E4" s="34" t="str">
        <x:v>運用</x:v>
      </x:c>
      <x:c r="F4" s="34" t="str">
        <x:v>備考</x:v>
      </x:c>
    </x:row>
    <x:row r="5">
      <x:c r="A5" s="37" t="str">
        <x:v>対象台帳</x:v>
      </x:c>
      <x:c r="B5" s="37" t="str">
        <x:v>公開</x:v>
      </x:c>
      <x:c r="C5" s="37" t="str">
        <x:v>24件</x:v>
      </x:c>
      <x:c r="D5" s="37" t="str">
        <x:v>TRF-001～TRF-022、TRF-024、TRF-025</x:v>
      </x:c>
      <x:c r="E5" s="37" t="str">
        <x:v>確認状態、法的・管理上の位置づけ、制度終了後の論点、未確認事項、主要Source ID、専門確認要否を掲載</x:v>
      </x:c>
      <x:c r="F5" s="37" t="str"/>
    </x:row>
    <x:row r="6">
      <x:c r="A6" s="37" t="str">
        <x:v>対象台帳</x:v>
      </x:c>
      <x:c r="B6" s="37" t="str">
        <x:v>非公開</x:v>
      </x:c>
      <x:c r="C6" s="37" t="str">
        <x:v>1件</x:v>
      </x:c>
      <x:c r="D6" s="37" t="str">
        <x:v>TRF-023</x:v>
      </x:c>
      <x:c r="E6" s="37" t="str">
        <x:v>個人情報・安全情報を管理する行。行の存在と除外理由のみ本シートに記録し、内容は公開台帳へ収録しない</x:v>
      </x:c>
      <x:c r="F6" s="37" t="str"/>
    </x:row>
    <x:row r="7">
      <x:c r="A7" s="37" t="str">
        <x:v>Claim–Evidence</x:v>
      </x:c>
      <x:c r="B7" s="37" t="str">
        <x:v>公開</x:v>
      </x:c>
      <x:c r="C7" s="37" t="str">
        <x:v>40件</x:v>
      </x:c>
      <x:c r="D7" s="37" t="str">
        <x:v>CE-001～CE-040</x:v>
      </x:c>
      <x:c r="E7" s="37" t="str">
        <x:v>CE-010・CE-036は承認済み精密化文言を反映</x:v>
      </x:c>
      <x:c r="F7" s="37" t="str"/>
    </x:row>
    <x:row r="8">
      <x:c r="A8" s="37" t="str">
        <x:v>Claim–Evidence</x:v>
      </x:c>
      <x:c r="B8" s="37" t="str">
        <x:v>非公開</x:v>
      </x:c>
      <x:c r="C8" s="37" t="str">
        <x:v>1件</x:v>
      </x:c>
      <x:c r="D8" s="37" t="str">
        <x:v>CE-041</x:v>
      </x:c>
      <x:c r="E8" s="37" t="str">
        <x:v>TRF-023に接続するため公開資料へ収録しない</x:v>
      </x:c>
      <x:c r="F8" s="37" t="str"/>
    </x:row>
    <x:row r="9">
      <x:c r="A9" s="37" t="str">
        <x:v>出典索引</x:v>
      </x:c>
      <x:c r="B9" s="37" t="str">
        <x:v>公開</x:v>
      </x:c>
      <x:c r="C9" s="37" t="str">
        <x:v>24件</x:v>
      </x:c>
      <x:c r="D9" s="37" t="str">
        <x:v>S01～S24</x:v>
      </x:c>
      <x:c r="E9" s="37" t="str">
        <x:v>現行Source IDだけを掲載。旧Source IDは掲載しない</x:v>
      </x:c>
      <x:c r="F9" s="37" t="str">
        <x:v>条文・判決頁・取得日・保存媒体・保存SHA-256をv0.2.1で登録済み</x:v>
      </x:c>
    </x:row>
    <x:row r="10">
      <x:c r="A10" s="37" t="str">
        <x:v>Source_ID対応表</x:v>
      </x:c>
      <x:c r="B10" s="37" t="str">
        <x:v>非公開</x:v>
      </x:c>
      <x:c r="C10" s="37" t="str">
        <x:v>10件</x:v>
      </x:c>
      <x:c r="D10" s="37" t="str">
        <x:v>旧ID→現行ID対応</x:v>
      </x:c>
      <x:c r="E10" s="37" t="str">
        <x:v>内部の旧Source ID整理・監査用。公開資料では現行Source IDのみを使う</x:v>
      </x:c>
      <x:c r="F10" s="37"/>
    </x:row>
    <x:row r="11">
      <x:c r="A11" s="37" t="str">
        <x:v>内部台帳の詳細列</x:v>
      </x:c>
      <x:c r="B11" s="37" t="str">
        <x:v>非公開</x:v>
      </x:c>
      <x:c r="C11" s="37" t="str">
        <x:v>該当列</x:v>
      </x:c>
      <x:c r="D11" s="37" t="str">
        <x:v>個人情報、安全情報、警備上の秘密、内部レビュー用メモ</x:v>
      </x:c>
      <x:c r="E11" s="37" t="str">
        <x:v>公開用列へ限定し、推測にすぎない所有者・権利者情報は確定表示しない</x:v>
      </x:c>
      <x:c r="F11" s="37" t="str"/>
    </x:row>
    <x:row r="12">
      <x:c r="A12" s="37" t="str">
        <x:v>内部管理文書</x:v>
      </x:c>
      <x:c r="B12" s="37" t="str">
        <x:v>非公開</x:v>
      </x:c>
      <x:c r="C12" s="37" t="str">
        <x:v>該当文書</x:v>
      </x:c>
      <x:c r="D12" s="37" t="str">
        <x:v>公開残件正本、精密化記録、横断表現ルール等</x:v>
      </x:c>
      <x:c r="E12" s="37" t="str">
        <x:v>公開パッケージの読者用根拠資料ではなく、内部の版・Gate管理に使用</x:v>
      </x:c>
      <x:c r="F12" s="37" t="str"/>
    </x:row>
  </x:sheetData>
  <x:mergeCells>
    <x:mergeCell ref="A1:F1"/>
    <x:mergeCell ref="A2:F2"/>
  </x:mergeCells>
  <x:pageMargins left="0.7" right="0.7" top="0.75" bottom="0.75" header="0.3" footer="0.3"/>
  <x:tableParts count="1">
    <x:tablePart xmlns:r="http://schemas.openxmlformats.org/officeDocument/2006/relationships" r:id="R6d58c1284bcf4499"/>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14" hidden="0" customWidth="1"/>
    <x:col min="5" max="5" width="48" hidden="0" customWidth="1"/>
    <x:col min="6" max="6" width="42" hidden="0" customWidth="1"/>
    <x:col min="7" max="7" width="45" hidden="0" customWidth="1"/>
    <x:col min="8" max="8" width="22" hidden="0" customWidth="1"/>
    <x:col min="9" max="9" width="12" hidden="0" customWidth="1"/>
  </x:cols>
  <x:sheetData>
    <x:row r="1">
      <x:c r="A1" s="28" t="str">
        <x:v>公開用対象・権利・機能台帳抜粋 v0.1.1</x:v>
      </x:c>
      <x:c r="B1" s="28"/>
      <x:c r="C1" s="28"/>
      <x:c r="D1" s="28"/>
      <x:c r="E1" s="28"/>
      <x:c r="F1" s="28"/>
      <x:c r="G1" s="28"/>
      <x:c r="H1" s="28"/>
      <x:c r="I1" s="28"/>
    </x:row>
    <x:row r="2">
      <x:c r="A2" s="31" t="str">
        <x:v>個人情報・安全情報（TRF-023）は非公開。現行Source ID S01～S24のみを使用。</x:v>
      </x:c>
      <x:c r="B2" s="31"/>
      <x:c r="C2" s="31"/>
      <x:c r="D2" s="31"/>
      <x:c r="E2" s="31"/>
      <x:c r="F2" s="31"/>
      <x:c r="G2" s="31"/>
      <x:c r="H2" s="31"/>
      <x:c r="I2" s="31"/>
    </x:row>
    <x:row r="4">
      <x:c r="A4" s="39" t="str">
        <x:v>対象ID</x:v>
      </x:c>
      <x:c r="B4" s="39" t="str">
        <x:v>主区分</x:v>
      </x:c>
      <x:c r="C4" s="39" t="str">
        <x:v>対象</x:v>
      </x:c>
      <x:c r="D4" s="39" t="str">
        <x:v>確認ステータス</x:v>
      </x:c>
      <x:c r="E4" s="39" t="str">
        <x:v>現在確認できる法的・管理上の位置づけ</x:v>
      </x:c>
      <x:c r="F4" s="39" t="str">
        <x:v>制度終了後に検討すべき論点</x:v>
      </x:c>
      <x:c r="G4" s="39" t="str">
        <x:v>未確認事項</x:v>
      </x:c>
      <x:c r="H4" s="39" t="str">
        <x:v>主要Source ID</x:v>
      </x:c>
      <x:c r="I4" s="39" t="str">
        <x:v>専門確認</x:v>
      </x:c>
    </x:row>
    <x:row r="5">
      <x:c r="A5" s="41" t="str">
        <x:v>TRF-001</x:v>
      </x:c>
      <x:c r="B5" s="41" t="str">
        <x:v>不動産</x:v>
      </x:c>
      <x:c r="C5" s="41" t="str">
        <x:v>皇居</x:v>
      </x:c>
      <x:c r="D5" s="41" t="str">
        <x:v>確認済み</x:v>
      </x:c>
      <x:c r="E5" s="41" t="str">
        <x:v>所有者：国。皇室用財産（行政財産）。宮内庁が管理・運営。施設群内の宗教的実施主体等は対象ごとに異なる。</x:v>
      </x:c>
      <x:c r="F5" s="41" t="str">
        <x:v>国有を維持し、施設単位で保存・公開・使用を分ける候補</x:v>
      </x:c>
      <x:c r="G5" s="41" t="str">
        <x:v>子対象の個別台帳分類、管理費・宗教利用費の分解</x:v>
      </x:c>
      <x:c r="H5" s="41" t="str">
        <x:v>S24,S23,S07,S11</x:v>
      </x:c>
      <x:c r="I5" s="41" t="str">
        <x:v>要</x:v>
      </x:c>
    </x:row>
    <x:row r="6">
      <x:c r="A6" s="41" t="str">
        <x:v>TRF-002</x:v>
      </x:c>
      <x:c r="B6" s="41" t="str">
        <x:v>不動産</x:v>
      </x:c>
      <x:c r="C6" s="41" t="str">
        <x:v>宮中三殿（賢所・皇霊殿・神殿）</x:v>
      </x:c>
      <x:c r="D6" s="41" t="str">
        <x:v>限定確認</x:v>
      </x:c>
      <x:c r="E6" s="41" t="str">
        <x:v>所有者および個別の国有財産分類は未確認。皇居内施設。宮内庁の財産管理部門が管理し、掌典職等が使用。現に祭祀へ使用。</x:v>
      </x:c>
      <x:c r="F6" s="41" t="str">
        <x:v>国有保存と宗教利用を分離審査／代替施設で私的継続</x:v>
      </x:c>
      <x:c r="G6" s="41" t="str">
        <x:v>所有、台帳分類、文化財指定、費用、使用許可</x:v>
      </x:c>
      <x:c r="H6" s="41" t="str">
        <x:v>S06,S24</x:v>
      </x:c>
      <x:c r="I6" s="41" t="str">
        <x:v>必須</x:v>
      </x:c>
    </x:row>
    <x:row r="7">
      <x:c r="A7" s="41" t="str">
        <x:v>TRF-003</x:v>
      </x:c>
      <x:c r="B7" s="41" t="str">
        <x:v>不動産</x:v>
      </x:c>
      <x:c r="C7" s="41" t="str">
        <x:v>宮中三殿附属建物（神嘉殿・神楽舎等）</x:v>
      </x:c>
      <x:c r="D7" s="41" t="str">
        <x:v>限定確認</x:v>
      </x:c>
      <x:c r="E7" s="41" t="str">
        <x:v>所有者・個別法的分類は未確認。皇居内施設で、掌典職等が祭祀・準備・奏楽等に利用。</x:v>
      </x:c>
      <x:c r="F7" s="41" t="str">
        <x:v>機能ごとに文化保存・宗教利用・終了を切り分ける</x:v>
      </x:c>
      <x:c r="G7" s="41" t="str">
        <x:v>各建物の用途、台帳分類、保存価値、代替可能性</x:v>
      </x:c>
      <x:c r="H7" s="41" t="str">
        <x:v>S06,S24</x:v>
      </x:c>
      <x:c r="I7" s="41" t="str">
        <x:v>要</x:v>
      </x:c>
    </x:row>
    <x:row r="8">
      <x:c r="A8" s="41" t="str">
        <x:v>TRF-004</x:v>
      </x:c>
      <x:c r="B8" s="41" t="str">
        <x:v>不動産</x:v>
      </x:c>
      <x:c r="C8" s="41" t="str">
        <x:v>陵墓</x:v>
      </x:c>
      <x:c r="D8" s="41" t="str">
        <x:v>確認済み</x:v>
      </x:c>
      <x:c r="E8" s="41" t="str">
        <x:v>所有者：国。皇室用財産として一覧掲載。宮内庁が管理。一般参拝に関する公式案内がある。</x:v>
      </x:c>
      <x:c r="F8" s="41" t="str">
        <x:v>国有・公的管理を維持し、追悼・宗教行為を切り分ける候補</x:v>
      </x:c>
      <x:c r="G8" s="41" t="str">
        <x:v>墓地・文化財・宗教施設としての法的区分、公開・調査政策。学術調査・研究利用の可否・範囲は未確認。</x:v>
      </x:c>
      <x:c r="H8" s="41" t="str">
        <x:v>S24,S07,S08,S09</x:v>
      </x:c>
      <x:c r="I8" s="41" t="str">
        <x:v>必須</x:v>
      </x:c>
    </x:row>
    <x:row r="9">
      <x:c r="A9" s="41" t="str">
        <x:v>TRF-005</x:v>
      </x:c>
      <x:c r="B9" s="41" t="str">
        <x:v>不動産</x:v>
      </x:c>
      <x:c r="C9" s="41" t="str">
        <x:v>正倉院</x:v>
      </x:c>
      <x:c r="D9" s="41" t="str">
        <x:v>確認済み</x:v>
      </x:c>
      <x:c r="E9" s="41" t="str">
        <x:v>所有者：国（皇室用財産一覧上の正倉院）。宮内庁が管理。土地・建物と宝物・資料は子対象へ分離して確認する。</x:v>
      </x:c>
      <x:c r="F9" s="41" t="str">
        <x:v>親対象として維持し、土地建物と収蔵物を別管理</x:v>
      </x:c>
      <x:c r="G9" s="41" t="str">
        <x:v>子対象ごとの所有・指定・権利</x:v>
      </x:c>
      <x:c r="H9" s="41" t="str">
        <x:v>S24,S08</x:v>
      </x:c>
      <x:c r="I9" s="41" t="str">
        <x:v>要</x:v>
      </x:c>
    </x:row>
    <x:row r="10">
      <x:c r="A10" s="41" t="str">
        <x:v>TRF-024</x:v>
      </x:c>
      <x:c r="B10" s="41" t="str">
        <x:v>不動産</x:v>
      </x:c>
      <x:c r="C10" s="41" t="str">
        <x:v>正倉院の土地・建物</x:v>
      </x:c>
      <x:c r="D10" s="41" t="str">
        <x:v>限定確認</x:v>
      </x:c>
      <x:c r="E10" s="41" t="str">
        <x:v>所有者：国。皇室用財産一覧上の正倉院に含まれる範囲として限定確認。宮内庁が管理・運営。</x:v>
      </x:c>
      <x:c r="F10" s="41" t="str">
        <x:v>公共文化保存機能として維持する候補</x:v>
      </x:c>
      <x:c r="G10" s="41" t="str">
        <x:v>個別筆・建物、文化財指定、維持費</x:v>
      </x:c>
      <x:c r="H10" s="41" t="str">
        <x:v>S24,S23</x:v>
      </x:c>
      <x:c r="I10" s="41" t="str">
        <x:v>要</x:v>
      </x:c>
    </x:row>
    <x:row r="11">
      <x:c r="A11" s="41" t="str">
        <x:v>TRF-025</x:v>
      </x:c>
      <x:c r="B11" s="41" t="str">
        <x:v>動産・文化物</x:v>
      </x:c>
      <x:c r="C11" s="41" t="str">
        <x:v>正倉院の宝物・資料</x:v>
      </x:c>
      <x:c r="D11" s="41" t="str">
        <x:v>未確認</x:v>
      </x:c>
      <x:c r="E11" s="41" t="str">
        <x:v>個別の所有・法的分類、管理・公開主体、財源は未確認。公開・研究価値はある。</x:v>
      </x:c>
      <x:c r="F11" s="41" t="str">
        <x:v>収蔵物ごとに保存・公開・権利処理</x:v>
      </x:c>
      <x:c r="G11" s="41" t="str">
        <x:v>所有、寄託、文化財指定、著作権・利用権</x:v>
      </x:c>
      <x:c r="H11" s="41" t="str">
        <x:v>S24,S08</x:v>
      </x:c>
      <x:c r="I11" s="41" t="str">
        <x:v>必須</x:v>
      </x:c>
    </x:row>
    <x:row r="12">
      <x:c r="A12" s="41" t="str">
        <x:v>TRF-006</x:v>
      </x:c>
      <x:c r="B12" s="41" t="str">
        <x:v>動産・文化物</x:v>
      </x:c>
      <x:c r="C12" s="41" t="str">
        <x:v>祭具・装束・調度</x:v>
      </x:c>
      <x:c r="D12" s="41" t="str">
        <x:v>未確認</x:v>
      </x:c>
      <x:c r="E12" s="41" t="str">
        <x:v>対象ごとに皇室用財産・由緒ある物・物品・私有財産等の可能性があり、所有・管理・財源は個別未確認。</x:v>
      </x:c>
      <x:c r="F12" s="41" t="str">
        <x:v>個別目録化し、保存・宗教利用・複製・終了を分ける</x:v>
      </x:c>
      <x:c r="G12" s="41" t="str">
        <x:v>所有、特別規律、国有物品台帳、文化財指定</x:v>
      </x:c>
      <x:c r="H12" s="41" t="str">
        <x:v>S22,S23,S24</x:v>
      </x:c>
      <x:c r="I12" s="41" t="str">
        <x:v>必須</x:v>
      </x:c>
    </x:row>
    <x:row r="13">
      <x:c r="A13" s="41" t="str">
        <x:v>TRF-007</x:v>
      </x:c>
      <x:c r="B13" s="41" t="str">
        <x:v>動産・文化物</x:v>
      </x:c>
      <x:c r="C13" s="41" t="str">
        <x:v>皇位とともに伝わるべき由緒ある物</x:v>
      </x:c>
      <x:c r="D13" s="41" t="str">
        <x:v>確認済み</x:v>
      </x:c>
      <x:c r="E13" s="41" t="str">
        <x:v>皇室経済法7条により、皇位とともに皇嗣へ伝わる特別承継規律がある。所有分類、個別目録、現行管理主体は未確認。</x:v>
      </x:c>
      <x:c r="F13" s="41" t="str">
        <x:v>制度終了時の帰属・保管・公開・宗教利用を個別決定</x:v>
      </x:c>
      <x:c r="G13" s="41" t="str">
        <x:v>対象目録、所有権的性質、処分制限、制度終了時承継先</x:v>
      </x:c>
      <x:c r="H13" s="41" t="str">
        <x:v>S22,S10</x:v>
      </x:c>
      <x:c r="I13" s="41" t="str">
        <x:v>必須</x:v>
      </x:c>
    </x:row>
    <x:row r="14">
      <x:c r="A14" s="41" t="str">
        <x:v>TRF-008</x:v>
      </x:c>
      <x:c r="B14" s="41" t="str">
        <x:v>文書・記録・データ</x:v>
      </x:c>
      <x:c r="C14" s="41" t="str">
        <x:v>皇室伝来の古文書・記録</x:v>
      </x:c>
      <x:c r="D14" s="41" t="str">
        <x:v>限定確認</x:v>
      </x:c>
      <x:c r="E14" s="41" t="str">
        <x:v>宮内庁書陵部を含む組織が保存・公開に関与。公文書、国有物品、寄託・私有等の可能性があり、個別所有区分は未確認。</x:v>
      </x:c>
      <x:c r="F14" s="41" t="str">
        <x:v>公的アーカイブとして保存し、秘密・個人情報を区分</x:v>
      </x:c>
      <x:c r="G14" s="41" t="str">
        <x:v>所有、著作権、公開制限、個人情報、秘密性</x:v>
      </x:c>
      <x:c r="H14" s="41" t="str">
        <x:v>S08,S07</x:v>
      </x:c>
      <x:c r="I14" s="41" t="str">
        <x:v>要</x:v>
      </x:c>
    </x:row>
    <x:row r="15">
      <x:c r="A15" s="41" t="str">
        <x:v>TRF-009</x:v>
      </x:c>
      <x:c r="B15" s="41" t="str">
        <x:v>文書・記録・データ</x:v>
      </x:c>
      <x:c r="C15" s="41" t="str">
        <x:v>皇統譜</x:v>
      </x:c>
      <x:c r="D15" s="41" t="str">
        <x:v>未確認</x:v>
      </x:c>
      <x:c r="E15" s="41" t="str">
        <x:v>宮内庁所管とされる法定記録だが、根拠条文・管理規程、所有・財源の詳細は未確認。</x:v>
      </x:c>
      <x:c r="F15" s="41" t="str">
        <x:v>制度終了時に公的アーカイブへ移管し個人情報を保護する候補</x:v>
      </x:c>
      <x:c r="G15" s="41" t="str">
        <x:v>法的根拠、所有・管理、戸籍等への移行、公開年限</x:v>
      </x:c>
      <x:c r="H15" s="41" t="str">
        <x:v>S07,S13</x:v>
      </x:c>
      <x:c r="I15" s="41" t="str">
        <x:v>必須</x:v>
      </x:c>
    </x:row>
    <x:row r="16">
      <x:c r="A16" s="41" t="str">
        <x:v>TRF-010</x:v>
      </x:c>
      <x:c r="B16" s="41" t="str">
        <x:v>文書・記録・データ</x:v>
      </x:c>
      <x:c r="C16" s="41" t="str">
        <x:v>祭祀記録・次第・祝詞・映像・写真</x:v>
      </x:c>
      <x:c r="D16" s="41" t="str">
        <x:v>未確認</x:v>
      </x:c>
      <x:c r="E16" s="41" t="str">
        <x:v>掌典職・宮内庁・報道機関等に分散する可能性。公文書、内廷資料、著作物、私的記録等の法的分類・権利は未確認。</x:v>
      </x:c>
      <x:c r="F16" s="41" t="str">
        <x:v>保存用マスター、公開版、非公開宗教資料を分層</x:v>
      </x:c>
      <x:c r="G16" s="41" t="str">
        <x:v>所有、著作権、個人情報、秘密性、保存責任</x:v>
      </x:c>
      <x:c r="H16" s="41" t="str">
        <x:v>S06,S08</x:v>
      </x:c>
      <x:c r="I16" s="41" t="str">
        <x:v>必須</x:v>
      </x:c>
    </x:row>
    <x:row r="17">
      <x:c r="A17" s="41" t="str">
        <x:v>TRF-011</x:v>
      </x:c>
      <x:c r="B17" s="41" t="str">
        <x:v>無形の機能・実践</x:v>
      </x:c>
      <x:c r="C17" s="41" t="str">
        <x:v>宮中祭祀（年間約20件近く）</x:v>
      </x:c>
      <x:c r="D17" s="41" t="str">
        <x:v>確認済み</x:v>
      </x:c>
      <x:c r="E17" s="41" t="str">
        <x:v>所有対象ではない宗教的実践。天皇・皇族・掌典職等が実施。現行の法的・財政的分類と祭儀別費用は未確認。</x:v>
      </x:c>
      <x:c r="F17" s="41" t="str">
        <x:v>終了、現在の天皇・皇族による私的な継続、希望する人々による自発的な継承、文化的な記録保存を祭儀ごとに検討</x:v>
      </x:c>
      <x:c r="G17" s="41" t="str">
        <x:v>祭儀一覧、必要施設・人員・費用、本人意思、公開性</x:v>
      </x:c>
      <x:c r="H17" s="41" t="str">
        <x:v>S06,S19</x:v>
      </x:c>
      <x:c r="I17" s="41" t="str">
        <x:v>必須</x:v>
      </x:c>
    </x:row>
    <x:row r="18">
      <x:c r="A18" s="41" t="str">
        <x:v>TRF-012</x:v>
      </x:c>
      <x:c r="B18" s="41" t="str">
        <x:v>無形の機能・実践</x:v>
      </x:c>
      <x:c r="C18" s="41" t="str">
        <x:v>祭祀技法・口伝・奏楽・調製技術</x:v>
      </x:c>
      <x:c r="D18" s="41" t="str">
        <x:v>未確認</x:v>
      </x:c>
      <x:c r="E18" s="41" t="str">
        <x:v>所有対象ではない。無形文化、職務上ノウハウ、宗教上の秘密、知的財産等の可能性があり、担い手・権利・財源は未確認。</x:v>
      </x:c>
      <x:c r="F18" s="41" t="str">
        <x:v>記録保存、任意の継承、文化技術としての保存を分ける</x:v>
      </x:c>
      <x:c r="G18" s="41" t="str">
        <x:v>担い手、伝承方法、権利、秘密性、後継者意思</x:v>
      </x:c>
      <x:c r="H18" s="41" t="str">
        <x:v>S06,S18</x:v>
      </x:c>
      <x:c r="I18" s="41" t="str">
        <x:v>要</x:v>
      </x:c>
    </x:row>
    <x:row r="19">
      <x:c r="A19" s="41" t="str">
        <x:v>TRF-013</x:v>
      </x:c>
      <x:c r="B19" s="41" t="str">
        <x:v>組織・人員</x:v>
      </x:c>
      <x:c r="C19" s="41" t="str">
        <x:v>掌典職</x:v>
      </x:c>
      <x:c r="D19" s="41" t="str">
        <x:v>確認済み</x:v>
      </x:c>
      <x:c r="E19" s="41" t="str">
        <x:v>宮内庁とは別の内廷組織で、掌典長の統括下に掌典次長・掌典・内掌典等が宮中祭祀を所掌する。財源・雇用関係は未確認。</x:v>
      </x:c>
      <x:c r="F19" s="41" t="str">
        <x:v>雇用・生活を保護し宗教共同体への自動移籍を避ける</x:v>
      </x:c>
      <x:c r="G19" s="41" t="str">
        <x:v>雇用主、労働条件、財源、職員意思、退職・転籍</x:v>
      </x:c>
      <x:c r="H19" s="41" t="str">
        <x:v>S06</x:v>
      </x:c>
      <x:c r="I19" s="41" t="str">
        <x:v>必須</x:v>
      </x:c>
    </x:row>
    <x:row r="20">
      <x:c r="A20" s="41" t="str">
        <x:v>TRF-014</x:v>
      </x:c>
      <x:c r="B20" s="41" t="str">
        <x:v>組織・人員</x:v>
      </x:c>
      <x:c r="C20" s="41" t="str">
        <x:v>宮内庁の財産・文書・陵墓担当職員</x:v>
      </x:c>
      <x:c r="D20" s="41" t="str">
        <x:v>限定確認</x:v>
      </x:c>
      <x:c r="E20" s="41" t="str">
        <x:v>宮内庁の国家公務員・行政組織。保存・管理・研究機能を担うが、職務ごとの宗教活動との関係は異なる。</x:v>
      </x:c>
      <x:c r="F20" s="41" t="str">
        <x:v>公的保存機能は後継行政機関へ移管する候補</x:v>
      </x:c>
      <x:c r="G20" s="41" t="str">
        <x:v>職務分解、配置転換、専門職継承、組織改廃</x:v>
      </x:c>
      <x:c r="H20" s="41" t="str">
        <x:v>S07,S08,S11,S12</x:v>
      </x:c>
      <x:c r="I20" s="41" t="str">
        <x:v>要</x:v>
      </x:c>
    </x:row>
    <x:row r="21">
      <x:c r="A21" s="41" t="str">
        <x:v>TRF-015</x:v>
      </x:c>
      <x:c r="B21" s="41" t="str">
        <x:v>組織・人員</x:v>
      </x:c>
      <x:c r="C21" s="41" t="str">
        <x:v>保存修理・奏楽・装束等の外部専門職</x:v>
      </x:c>
      <x:c r="D21" s="41" t="str">
        <x:v>未確認</x:v>
      </x:c>
      <x:c r="E21" s="41" t="str">
        <x:v>契約・委嘱先、契約主体、財源、知的財産等は未確認。文化技術の継承価値があり、一部は宗教活動へ関与する。</x:v>
      </x:c>
      <x:c r="F21" s="41" t="str">
        <x:v>契約継続、技能保存、宗教活動からの切分けを個別判断</x:v>
      </x:c>
      <x:c r="G21" s="41" t="str">
        <x:v>契約主体、知財、職業保障、技能保有者</x:v>
      </x:c>
      <x:c r="H21" s="41" t="str">
        <x:v>S18</x:v>
      </x:c>
      <x:c r="I21" s="41" t="str">
        <x:v>要</x:v>
      </x:c>
    </x:row>
    <x:row r="22">
      <x:c r="A22" s="41" t="str">
        <x:v>TRF-016</x:v>
      </x:c>
      <x:c r="B22" s="41" t="str">
        <x:v>財源・契約・権利</x:v>
      </x:c>
      <x:c r="C22" s="41" t="str">
        <x:v>内廷費</x:v>
      </x:c>
      <x:c r="D22" s="41" t="str">
        <x:v>確認済み</x:v>
      </x:c>
      <x:c r="E22" s="41" t="str">
        <x:v>国費として支出後は御手元金とされる皇室経済法上の皇室費。祭祀費を含むとの過去説明があるが、現行内訳は未確認。</x:v>
      </x:c>
      <x:c r="F22" s="41" t="str">
        <x:v>制度終了に伴う内廷費の廃止、生活保障の経過措置、祭祀費用の扱いを分けて検討</x:v>
      </x:c>
      <x:c r="G22" s="41" t="str">
        <x:v>現行祭祀費割合、生活費との区分、経過給付</x:v>
      </x:c>
      <x:c r="H22" s="41" t="str">
        <x:v>S10,S19,S22</x:v>
      </x:c>
      <x:c r="I22" s="41" t="str">
        <x:v>必須</x:v>
      </x:c>
    </x:row>
    <x:row r="23">
      <x:c r="A23" s="41" t="str">
        <x:v>TRF-017</x:v>
      </x:c>
      <x:c r="B23" s="41" t="str">
        <x:v>財源・契約・権利</x:v>
      </x:c>
      <x:c r="C23" s="41" t="str">
        <x:v>宮廷費</x:v>
      </x:c>
      <x:c r="D23" s="41" t="str">
        <x:v>確認済み</x:v>
      </x:c>
      <x:c r="E23" s="41" t="str">
        <x:v>国の公金で、公的活動・皇室用財産管理等に用いられる。宗教活動費との個別区分は未確認。</x:v>
      </x:c>
      <x:c r="F23" s="41" t="str">
        <x:v>公的活動、文化保存、宗教活動に関する費用を分けて検討</x:v>
      </x:c>
      <x:c r="G23" s="41" t="str">
        <x:v>祭祀施設修繕、人件費、公的儀礼との費用区分</x:v>
      </x:c>
      <x:c r="H23" s="41" t="str">
        <x:v>S10</x:v>
      </x:c>
      <x:c r="I23" s="41" t="str">
        <x:v>必須</x:v>
      </x:c>
    </x:row>
    <x:row r="24">
      <x:c r="A24" s="41" t="str">
        <x:v>TRF-018</x:v>
      </x:c>
      <x:c r="B24" s="41" t="str">
        <x:v>財源・契約・権利</x:v>
      </x:c>
      <x:c r="C24" s="41" t="str">
        <x:v>宮内庁費</x:v>
      </x:c>
      <x:c r="D24" s="41" t="str">
        <x:v>限定確認</x:v>
      </x:c>
      <x:c r="E24" s="41" t="str">
        <x:v>国の行政機関運営費。保存・管理専門職を支えるが、宗教活動との関係は職務・支出ごとに確認が必要。</x:v>
      </x:c>
      <x:c r="F24" s="41" t="str">
        <x:v>後継行政機関費、廃止経費、文化保存費へ再編</x:v>
      </x:c>
      <x:c r="G24" s="41" t="str">
        <x:v>支出項目、祭祀との境界、制度終了・再編に伴う費用</x:v>
      </x:c>
      <x:c r="H24" s="41" t="str">
        <x:v>S10,S07</x:v>
      </x:c>
      <x:c r="I24" s="41" t="str">
        <x:v>要</x:v>
      </x:c>
    </x:row>
    <x:row r="25">
      <x:c r="A25" s="41" t="str">
        <x:v>TRF-019</x:v>
      </x:c>
      <x:c r="B25" s="41" t="str">
        <x:v>財源・契約・権利</x:v>
      </x:c>
      <x:c r="C25" s="41" t="str">
        <x:v>施設維持・修繕・警備・物品調達契約</x:v>
      </x:c>
      <x:c r="D25" s="41" t="str">
        <x:v>未確認</x:v>
      </x:c>
      <x:c r="E25" s="41" t="str">
        <x:v>契約対象・主体・財源により異なる。宗教施設・祭具に関する契約を含む可能性があり、内訳は未確認。</x:v>
      </x:c>
      <x:c r="F25" s="41" t="str">
        <x:v>契約承継・終了・再調達を対象ごとに決定</x:v>
      </x:c>
      <x:c r="G25" s="41" t="str">
        <x:v>契約一覧、解除条項、知財、警備上の秘密</x:v>
      </x:c>
      <x:c r="H25" s="41" t="str">
        <x:v>S10,S07</x:v>
      </x:c>
      <x:c r="I25" s="41" t="str">
        <x:v>必須</x:v>
      </x:c>
    </x:row>
    <x:row r="26">
      <x:c r="A26" s="41" t="str">
        <x:v>TRF-020</x:v>
      </x:c>
      <x:c r="B26" s="41" t="str">
        <x:v>財源・契約・権利</x:v>
      </x:c>
      <x:c r="C26" s="41" t="str">
        <x:v>画像・映像・文章・データの著作権・利用権</x:v>
      </x:c>
      <x:c r="D26" s="41" t="str">
        <x:v>未確認</x:v>
      </x:c>
      <x:c r="E26" s="41" t="str">
        <x:v>権利者は国・職員・受託者・報道機関等の可能性があり、個別確認が必要。公開研究価値と権利・プライバシー制約が競合する。</x:v>
      </x:c>
      <x:c r="F26" s="41" t="str">
        <x:v>保存権限と公開ライセンスを分けて権利処理</x:v>
      </x:c>
      <x:c r="G26" s="41" t="str">
        <x:v>権利者、保護期間、二次利用、肖像・プライバシー</x:v>
      </x:c>
      <x:c r="H26" s="41" t="str">
        <x:v>S08</x:v>
      </x:c>
      <x:c r="I26" s="41" t="str">
        <x:v>要</x:v>
      </x:c>
    </x:row>
    <x:row r="27">
      <x:c r="A27" s="41" t="str">
        <x:v>TRF-021</x:v>
      </x:c>
      <x:c r="B27" s="41" t="str">
        <x:v>名称・標章</x:v>
      </x:c>
      <x:c r="C27" s="41" t="str">
        <x:v>「天皇」という名称・宗教上の役職名</x:v>
      </x:c>
      <x:c r="D27" s="41" t="str">
        <x:v>未確認</x:v>
      </x:c>
      <x:c r="E27" s="41" t="str">
        <x:v>現行は憲法・皇室典範上の公的地位。制度終了後の名称利用、使用主体、宗教上の役職名としての使用可否は未判定。</x:v>
      </x:c>
      <x:c r="F27" s="41" t="str">
        <x:v>誰でも使える、誤認だけを防ぐ、特定の人・団体だけに認める、の三案を比較し結論を保留</x:v>
      </x:c>
      <x:c r="G27" s="41" t="str">
        <x:v>軽犯罪法、必要に応じた法整備、誤認表示、独占付与、表現・信教の自由。制度終了後の「天皇」名称利用は未判定。</x:v>
      </x:c>
      <x:c r="H27" s="41" t="str">
        <x:v>S01,S13,S14,S20</x:v>
      </x:c>
      <x:c r="I27" s="41" t="str">
        <x:v>必須</x:v>
      </x:c>
    </x:row>
    <x:row r="28">
      <x:c r="A28" s="41" t="str">
        <x:v>TRF-022</x:v>
      </x:c>
      <x:c r="B28" s="41" t="str">
        <x:v>名称・標章</x:v>
      </x:c>
      <x:c r="C28" s="41" t="str">
        <x:v>菊花紋章その他の標章</x:v>
      </x:c>
      <x:c r="D28" s="41" t="str">
        <x:v>限定確認</x:v>
      </x:c>
      <x:c r="E28" s="41" t="str">
        <x:v>標章ごとの所有・管理・使用主体は未確認。商標登録制限・公的標章・慣行が関係し、宗教共同体による使用は未判定。</x:v>
      </x:c>
      <x:c r="F28" s="41" t="str">
        <x:v>公的標章と宗教・文化団体のロゴを明確に分離</x:v>
      </x:c>
      <x:c r="G28" s="41" t="str">
        <x:v>使用権、法的保護、類似標章、制度終了後の規制</x:v>
      </x:c>
      <x:c r="H28" s="41" t="str">
        <x:v>S20</x:v>
      </x:c>
      <x:c r="I28" s="41" t="str">
        <x:v>要</x:v>
      </x:c>
    </x:row>
  </x:sheetData>
  <x:mergeCells>
    <x:mergeCell ref="A1:I1"/>
    <x:mergeCell ref="A2:I2"/>
  </x:mergeCells>
  <x:conditionalFormatting sqref="D5:D28">
    <x:cfRule type="expression" dxfId="0" priority="1">
      <x:formula>D5="確認済み"</x:formula>
    </x:cfRule>
    <x:cfRule type="expression" dxfId="1" priority="2">
      <x:formula>D5="限定確認"</x:formula>
    </x:cfRule>
    <x:cfRule type="expression" dxfId="2" priority="3">
      <x:formula>D5="未確認"</x:formula>
    </x:cfRule>
  </x:conditionalFormatting>
  <x:conditionalFormatting sqref="I5:I28">
    <x:cfRule type="expression" dxfId="3" priority="4">
      <x:formula>I5="必須"</x:formula>
    </x:cfRule>
    <x:cfRule type="expression" dxfId="4" priority="5">
      <x:formula>I5="要"</x:formula>
    </x:cfRule>
  </x:conditionalFormatting>
  <x:pageMargins left="0.7" right="0.7" top="0.75" bottom="0.75" header="0.3" footer="0.3"/>
  <x:tableParts count="1">
    <x:tablePart xmlns:r="http://schemas.openxmlformats.org/officeDocument/2006/relationships" r:id="R80c6401fe6d54cfa"/>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20" hidden="0" customWidth="1"/>
    <x:col min="4" max="4" width="55" hidden="0" customWidth="1"/>
    <x:col min="5" max="5" width="12" hidden="0" customWidth="1"/>
    <x:col min="6" max="6" width="18" hidden="0" customWidth="1"/>
    <x:col min="7" max="7" width="28" hidden="0" customWidth="1"/>
    <x:col min="8" max="8" width="48" hidden="0" customWidth="1"/>
  </x:cols>
  <x:sheetData>
    <x:row r="1">
      <x:c r="A1" s="28" t="str">
        <x:v>公開Claim–Evidence v0.1.1</x:v>
      </x:c>
      <x:c r="B1" s="28"/>
      <x:c r="C1" s="28"/>
      <x:c r="D1" s="28"/>
      <x:c r="E1" s="28"/>
      <x:c r="F1" s="28"/>
      <x:c r="G1" s="28"/>
      <x:c r="H1" s="28"/>
    </x:row>
    <x:row r="2">
      <x:c r="A2" s="31" t="str">
        <x:v>CE-010・CE-036は承認済み精密化文言を反映。TRF-023に接続するCE-041は非公開。</x:v>
      </x:c>
      <x:c r="B2" s="31"/>
      <x:c r="C2" s="31"/>
      <x:c r="D2" s="31"/>
      <x:c r="E2" s="31"/>
      <x:c r="F2" s="31"/>
      <x:c r="G2" s="31"/>
      <x:c r="H2" s="31"/>
    </x:row>
    <x:row r="4">
      <x:c r="A4" s="34" t="str">
        <x:v>接続ID</x:v>
      </x:c>
      <x:c r="B4" s="34" t="str">
        <x:v>TRF ID</x:v>
      </x:c>
      <x:c r="C4" s="34" t="str">
        <x:v>Claim／列</x:v>
      </x:c>
      <x:c r="D4" s="34" t="str">
        <x:v>Claim本文</x:v>
      </x:c>
      <x:c r="E4" s="34" t="str">
        <x:v>Source ID</x:v>
      </x:c>
      <x:c r="F4" s="34" t="str">
        <x:v>関係種別</x:v>
      </x:c>
      <x:c r="G4" s="34" t="str">
        <x:v>使用箇所</x:v>
      </x:c>
      <x:c r="H4" s="34" t="str">
        <x:v>限界</x:v>
      </x:c>
    </x:row>
    <x:row r="5">
      <x:c r="A5" s="41" t="str">
        <x:v>CE-001</x:v>
      </x:c>
      <x:c r="B5" s="41" t="str">
        <x:v>TRF-001</x:v>
      </x:c>
      <x:c r="C5" s="41" t="str">
        <x:v>現在の所有者</x:v>
      </x:c>
      <x:c r="D5" s="41" t="str">
        <x:v>皇居は皇室用財産一覧に掲載される国の財産である。</x:v>
      </x:c>
      <x:c r="E5" s="41" t="str">
        <x:v>S24</x:v>
      </x:c>
      <x:c r="F5" s="41" t="str">
        <x:v>直接支持</x:v>
      </x:c>
      <x:c r="G5" s="41" t="str">
        <x:v>皇室用財産一覧</x:v>
      </x:c>
      <x:c r="H5" s="41" t="str">
        <x:v>個別施設の分類までは示さない</x:v>
      </x:c>
    </x:row>
    <x:row r="6">
      <x:c r="A6" s="41" t="str">
        <x:v>CE-002</x:v>
      </x:c>
      <x:c r="B6" s="41" t="str">
        <x:v>TRF-001</x:v>
      </x:c>
      <x:c r="C6" s="41" t="str">
        <x:v>法的分類</x:v>
      </x:c>
      <x:c r="D6" s="41" t="str">
        <x:v>皇室用財産は国有財産法上の行政財産の一分類である。</x:v>
      </x:c>
      <x:c r="E6" s="41" t="str">
        <x:v>S23</x:v>
      </x:c>
      <x:c r="F6" s="41" t="str">
        <x:v>法的前提</x:v>
      </x:c>
      <x:c r="G6" s="41" t="str">
        <x:v>国有財産法3条2項3号</x:v>
      </x:c>
      <x:c r="H6" s="41" t="str">
        <x:v>皇居内の各施設の個別台帳分類は別確認</x:v>
      </x:c>
    </x:row>
    <x:row r="7">
      <x:c r="A7" s="41" t="str">
        <x:v>CE-003</x:v>
      </x:c>
      <x:c r="B7" s="41" t="str">
        <x:v>TRF-001</x:v>
      </x:c>
      <x:c r="C7" s="41" t="str">
        <x:v>資産管理主体</x:v>
      </x:c>
      <x:c r="D7" s="41" t="str">
        <x:v>宮内庁が皇室用財産の管理を所掌する。</x:v>
      </x:c>
      <x:c r="E7" s="41" t="str">
        <x:v>S07</x:v>
      </x:c>
      <x:c r="F7" s="41" t="str">
        <x:v>公式説明</x:v>
      </x:c>
      <x:c r="G7" s="41" t="str">
        <x:v>組織・所掌事務</x:v>
      </x:c>
      <x:c r="H7" s="41" t="str">
        <x:v>個別部署・費用は別確認</x:v>
      </x:c>
    </x:row>
    <x:row r="8">
      <x:c r="A8" s="41" t="str">
        <x:v>CE-004</x:v>
      </x:c>
      <x:c r="B8" s="41" t="str">
        <x:v>TRF-002</x:v>
      </x:c>
      <x:c r="C8" s="41" t="str">
        <x:v>対象</x:v>
      </x:c>
      <x:c r="D8" s="41" t="str">
        <x:v>宮中三殿は賢所・皇霊殿・神殿からなる。</x:v>
      </x:c>
      <x:c r="E8" s="41" t="str">
        <x:v>S06</x:v>
      </x:c>
      <x:c r="F8" s="41" t="str">
        <x:v>直接支持</x:v>
      </x:c>
      <x:c r="G8" s="41" t="str">
        <x:v>宮中三殿の説明</x:v>
      </x:c>
      <x:c r="H8" s="41" t="str">
        <x:v>個別所有・国有財産分類は示さない</x:v>
      </x:c>
    </x:row>
    <x:row r="9">
      <x:c r="A9" s="41" t="str">
        <x:v>CE-005</x:v>
      </x:c>
      <x:c r="B9" s="41" t="str">
        <x:v>TRF-002</x:v>
      </x:c>
      <x:c r="C9" s="41" t="str">
        <x:v>宗教的使用</x:v>
      </x:c>
      <x:c r="D9" s="41" t="str">
        <x:v>宮中三殿は宮中祭祀に使用される。</x:v>
      </x:c>
      <x:c r="E9" s="41" t="str">
        <x:v>S06</x:v>
      </x:c>
      <x:c r="F9" s="41" t="str">
        <x:v>直接支持</x:v>
      </x:c>
      <x:c r="G9" s="41" t="str">
        <x:v>宮中祭祀の説明</x:v>
      </x:c>
      <x:c r="H9" s="41" t="str">
        <x:v>憲法上の分類・財源は別確認</x:v>
      </x:c>
    </x:row>
    <x:row r="10">
      <x:c r="A10" s="41" t="str">
        <x:v>CE-006</x:v>
      </x:c>
      <x:c r="B10" s="41" t="str">
        <x:v>TRF-002</x:v>
      </x:c>
      <x:c r="C10" s="41" t="str">
        <x:v>法的分類</x:v>
      </x:c>
      <x:c r="D10" s="41" t="str">
        <x:v>宮中三殿は皇居内にあるが、個別の台帳分類は確認できていない。</x:v>
      </x:c>
      <x:c r="E10" s="41" t="str">
        <x:v>S24</x:v>
      </x:c>
      <x:c r="F10" s="41" t="str">
        <x:v>一部支持</x:v>
      </x:c>
      <x:c r="G10" s="41" t="str">
        <x:v>皇居の皇室用財産一覧</x:v>
      </x:c>
      <x:c r="H10" s="41" t="str">
        <x:v>三殿の個別分類を直接支えない</x:v>
      </x:c>
    </x:row>
    <x:row r="11">
      <x:c r="A11" s="41" t="str">
        <x:v>CE-007</x:v>
      </x:c>
      <x:c r="B11" s="41" t="str">
        <x:v>TRF-003</x:v>
      </x:c>
      <x:c r="C11" s="41" t="str">
        <x:v>対象</x:v>
      </x:c>
      <x:c r="D11" s="41" t="str">
        <x:v>宮中三殿には神嘉殿・神楽舎等の附属建物がある。</x:v>
      </x:c>
      <x:c r="E11" s="41" t="str">
        <x:v>S06</x:v>
      </x:c>
      <x:c r="F11" s="41" t="str">
        <x:v>直接支持</x:v>
      </x:c>
      <x:c r="G11" s="41" t="str">
        <x:v>附属建物の説明</x:v>
      </x:c>
      <x:c r="H11" s="41" t="str">
        <x:v>個別所有・分類は別確認</x:v>
      </x:c>
    </x:row>
    <x:row r="12">
      <x:c r="A12" s="41" t="str">
        <x:v>CE-008</x:v>
      </x:c>
      <x:c r="B12" s="41" t="str">
        <x:v>TRF-004</x:v>
      </x:c>
      <x:c r="C12" s="41" t="str">
        <x:v>法的分類</x:v>
      </x:c>
      <x:c r="D12" s="41" t="str">
        <x:v>陵墓は皇室用財産一覧に掲載される。</x:v>
      </x:c>
      <x:c r="E12" s="41" t="str">
        <x:v>S24</x:v>
      </x:c>
      <x:c r="F12" s="41" t="str">
        <x:v>直接支持</x:v>
      </x:c>
      <x:c r="G12" s="41" t="str">
        <x:v>陵墓一覧</x:v>
      </x:c>
      <x:c r="H12" s="41" t="str">
        <x:v>個別の墓地・文化財分類は別確認</x:v>
      </x:c>
    </x:row>
    <x:row r="13">
      <x:c r="A13" s="41" t="str">
        <x:v>CE-009</x:v>
      </x:c>
      <x:c r="B13" s="41" t="str">
        <x:v>TRF-004</x:v>
      </x:c>
      <x:c r="C13" s="41" t="str">
        <x:v>資産管理主体</x:v>
      </x:c>
      <x:c r="D13" s="41" t="str">
        <x:v>宮内庁が陵墓の管理・調査を行う。</x:v>
      </x:c>
      <x:c r="E13" s="41" t="str">
        <x:v>S07</x:v>
      </x:c>
      <x:c r="F13" s="41" t="str">
        <x:v>公式説明</x:v>
      </x:c>
      <x:c r="G13" s="41" t="str">
        <x:v>組織・所掌事務</x:v>
      </x:c>
      <x:c r="H13" s="41" t="str">
        <x:v>個別陵墓の扱いは別確認</x:v>
      </x:c>
    </x:row>
    <x:row r="14">
      <x:c r="A14" s="41" t="str">
        <x:v>CE-010</x:v>
      </x:c>
      <x:c r="B14" s="41" t="str">
        <x:v>TRF-004</x:v>
      </x:c>
      <x:c r="C14" s="41" t="str">
        <x:v>一般公開・研究価値</x:v>
      </x:c>
      <x:c r="D14" s="41" t="str">
        <x:v>宮内庁は、管理する歴代天皇陵について、一般参拝に関する案内を公開している。</x:v>
      </x:c>
      <x:c r="E14" s="41" t="str">
        <x:v>S09</x:v>
      </x:c>
      <x:c r="F14" s="41" t="str">
        <x:v>公式説明</x:v>
      </x:c>
      <x:c r="G14" s="41" t="str">
        <x:v>歴代天皇陵案内・参拝時の留意事項</x:v>
      </x:c>
      <x:c r="H14" s="41" t="str">
        <x:v>外部の研究者等による学術調査・研究利用の可否・範囲および制度終了後の公開・調査政策を直接示さない</x:v>
      </x:c>
    </x:row>
    <x:row r="15">
      <x:c r="A15" s="41" t="str">
        <x:v>CE-011</x:v>
      </x:c>
      <x:c r="B15" s="41" t="str">
        <x:v>TRF-005</x:v>
      </x:c>
      <x:c r="C15" s="41" t="str">
        <x:v>法的分類</x:v>
      </x:c>
      <x:c r="D15" s="41" t="str">
        <x:v>正倉院は皇室用財産一覧に掲載される。</x:v>
      </x:c>
      <x:c r="E15" s="41" t="str">
        <x:v>S24</x:v>
      </x:c>
      <x:c r="F15" s="41" t="str">
        <x:v>直接支持</x:v>
      </x:c>
      <x:c r="G15" s="41" t="str">
        <x:v>皇室用財産一覧</x:v>
      </x:c>
      <x:c r="H15" s="41" t="str">
        <x:v>土地建物と収蔵物の個別分類を示さない</x:v>
      </x:c>
    </x:row>
    <x:row r="16">
      <x:c r="A16" s="41" t="str">
        <x:v>CE-012</x:v>
      </x:c>
      <x:c r="B16" s="41" t="str">
        <x:v>TRF-024</x:v>
      </x:c>
      <x:c r="C16" s="41" t="str">
        <x:v>法的分類</x:v>
      </x:c>
      <x:c r="D16" s="41" t="str">
        <x:v>正倉院の土地・建物は、一覧上の正倉院に含まれる範囲として限定確認する。</x:v>
      </x:c>
      <x:c r="E16" s="41" t="str">
        <x:v>S24</x:v>
      </x:c>
      <x:c r="F16" s="41" t="str">
        <x:v>一部支持</x:v>
      </x:c>
      <x:c r="G16" s="41" t="str">
        <x:v>皇室用財産一覧</x:v>
      </x:c>
      <x:c r="H16" s="41" t="str">
        <x:v>個別筆・建物の台帳は別確認</x:v>
      </x:c>
    </x:row>
    <x:row r="17">
      <x:c r="A17" s="41" t="str">
        <x:v>CE-013</x:v>
      </x:c>
      <x:c r="B17" s="41" t="str">
        <x:v>TRF-025</x:v>
      </x:c>
      <x:c r="C17" s="41" t="str">
        <x:v>現在の所有者</x:v>
      </x:c>
      <x:c r="D17" s="41" t="str">
        <x:v>正倉院の宝物・資料の個別所有区分は未確認である。</x:v>
      </x:c>
      <x:c r="E17" s="41" t="str">
        <x:v>S24</x:v>
      </x:c>
      <x:c r="F17" s="41" t="str">
        <x:v>反対・制約資料</x:v>
      </x:c>
      <x:c r="G17" s="41" t="str">
        <x:v>皇室用財産一覧</x:v>
      </x:c>
      <x:c r="H17" s="41" t="str">
        <x:v>一覧は収蔵物の個別所有を示さない</x:v>
      </x:c>
    </x:row>
    <x:row r="18">
      <x:c r="A18" s="41" t="str">
        <x:v>CE-014</x:v>
      </x:c>
      <x:c r="B18" s="41" t="str">
        <x:v>TRF-025</x:v>
      </x:c>
      <x:c r="C18" s="41" t="str">
        <x:v>資産管理主体</x:v>
      </x:c>
      <x:c r="D18" s="41" t="str">
        <x:v>宮内庁の文化資料保存組織が資料保存・公開を行う。</x:v>
      </x:c>
      <x:c r="E18" s="41" t="str">
        <x:v>S08</x:v>
      </x:c>
      <x:c r="F18" s="41" t="str">
        <x:v>一部支持</x:v>
      </x:c>
      <x:c r="G18" s="41" t="str">
        <x:v>書陵部の説明</x:v>
      </x:c>
      <x:c r="H18" s="41" t="str">
        <x:v>正倉院宝物の担当・所有を直接支えない</x:v>
      </x:c>
    </x:row>
    <x:row r="19">
      <x:c r="A19" s="41" t="str">
        <x:v>CE-015</x:v>
      </x:c>
      <x:c r="B19" s="41" t="str">
        <x:v>TRF-006</x:v>
      </x:c>
      <x:c r="C19" s="41" t="str">
        <x:v>法的分類</x:v>
      </x:c>
      <x:c r="D19" s="41" t="str">
        <x:v>祭具等は皇室用財産・由緒ある物・一般物品・私有財産等の複数類型にまたがり得る。</x:v>
      </x:c>
      <x:c r="E19" s="41" t="str">
        <x:v>S22</x:v>
      </x:c>
      <x:c r="F19" s="41" t="str">
        <x:v>推論の素材</x:v>
      </x:c>
      <x:c r="G19" s="41" t="str">
        <x:v>皇室経済法7条</x:v>
      </x:c>
      <x:c r="H19" s="41" t="str">
        <x:v>個別祭具の該当性を示さない</x:v>
      </x:c>
    </x:row>
    <x:row r="20">
      <x:c r="A20" s="41" t="str">
        <x:v>CE-016</x:v>
      </x:c>
      <x:c r="B20" s="41" t="str">
        <x:v>TRF-006</x:v>
      </x:c>
      <x:c r="C20" s="41" t="str">
        <x:v>法的分類</x:v>
      </x:c>
      <x:c r="D20" s="41" t="str">
        <x:v>皇室用財産という行政財産類型が存在する。</x:v>
      </x:c>
      <x:c r="E20" s="41" t="str">
        <x:v>S23</x:v>
      </x:c>
      <x:c r="F20" s="41" t="str">
        <x:v>法的前提</x:v>
      </x:c>
      <x:c r="G20" s="41" t="str">
        <x:v>国有財産法3条</x:v>
      </x:c>
      <x:c r="H20" s="41" t="str">
        <x:v>個別祭具の分類は別確認</x:v>
      </x:c>
    </x:row>
    <x:row r="21">
      <x:c r="A21" s="41" t="str">
        <x:v>CE-017</x:v>
      </x:c>
      <x:c r="B21" s="41" t="str">
        <x:v>TRF-007</x:v>
      </x:c>
      <x:c r="C21" s="41" t="str">
        <x:v>特別規律</x:v>
      </x:c>
      <x:c r="D21" s="41" t="str">
        <x:v>皇位とともに伝わるべき由緒ある物には皇室経済法7条の特別規律がある。</x:v>
      </x:c>
      <x:c r="E21" s="41" t="str">
        <x:v>S22</x:v>
      </x:c>
      <x:c r="F21" s="41" t="str">
        <x:v>直接支持</x:v>
      </x:c>
      <x:c r="G21" s="41" t="str">
        <x:v>皇室経済法7条</x:v>
      </x:c>
      <x:c r="H21" s="41" t="str">
        <x:v>所有者・個別目録・制度終了時帰属は示さない</x:v>
      </x:c>
    </x:row>
    <x:row r="22">
      <x:c r="A22" s="41" t="str">
        <x:v>CE-018</x:v>
      </x:c>
      <x:c r="B22" s="41" t="str">
        <x:v>TRF-007</x:v>
      </x:c>
      <x:c r="C22" s="41" t="str">
        <x:v>承継関係</x:v>
      </x:c>
      <x:c r="D22" s="41" t="str">
        <x:v>由緒ある物は皇位とともに皇嗣へ伝わる。</x:v>
      </x:c>
      <x:c r="E22" s="41" t="str">
        <x:v>S22</x:v>
      </x:c>
      <x:c r="F22" s="41" t="str">
        <x:v>直接支持</x:v>
      </x:c>
      <x:c r="G22" s="41" t="str">
        <x:v>皇室経済法7条</x:v>
      </x:c>
      <x:c r="H22" s="41" t="str">
        <x:v>制度終了時の承継先は別問題</x:v>
      </x:c>
    </x:row>
    <x:row r="23">
      <x:c r="A23" s="41" t="str">
        <x:v>CE-019</x:v>
      </x:c>
      <x:c r="B23" s="41" t="str">
        <x:v>TRF-008</x:v>
      </x:c>
      <x:c r="C23" s="41" t="str">
        <x:v>資産管理主体</x:v>
      </x:c>
      <x:c r="D23" s="41" t="str">
        <x:v>宮内庁書陵部は皇室伝来資料の保管・修補・公開を行う。</x:v>
      </x:c>
      <x:c r="E23" s="41" t="str">
        <x:v>S08</x:v>
      </x:c>
      <x:c r="F23" s="41" t="str">
        <x:v>直接支持</x:v>
      </x:c>
      <x:c r="G23" s="41" t="str">
        <x:v>書陵部の説明</x:v>
      </x:c>
      <x:c r="H23" s="41" t="str">
        <x:v>個別資料の所有区分は示さない</x:v>
      </x:c>
    </x:row>
    <x:row r="24">
      <x:c r="A24" s="41" t="str">
        <x:v>CE-020</x:v>
      </x:c>
      <x:c r="B24" s="41" t="str">
        <x:v>TRF-009</x:v>
      </x:c>
      <x:c r="C24" s="41" t="str">
        <x:v>資産管理主体</x:v>
      </x:c>
      <x:c r="D24" s="41" t="str">
        <x:v>皇統譜は宮内庁の所掌領域に含まれる。</x:v>
      </x:c>
      <x:c r="E24" s="41" t="str">
        <x:v>S07</x:v>
      </x:c>
      <x:c r="F24" s="41" t="str">
        <x:v>一部支持</x:v>
      </x:c>
      <x:c r="G24" s="41" t="str">
        <x:v>組織・所掌事務</x:v>
      </x:c>
      <x:c r="H24" s="41" t="str">
        <x:v>根拠条文・管理規程を追加確認する</x:v>
      </x:c>
    </x:row>
    <x:row r="25">
      <x:c r="A25" s="41" t="str">
        <x:v>CE-021</x:v>
      </x:c>
      <x:c r="B25" s="41" t="str">
        <x:v>TRF-010</x:v>
      </x:c>
      <x:c r="C25" s="41" t="str">
        <x:v>対象</x:v>
      </x:c>
      <x:c r="D25" s="41" t="str">
        <x:v>宮中祭祀が存在することは確認できる。</x:v>
      </x:c>
      <x:c r="E25" s="41" t="str">
        <x:v>S06</x:v>
      </x:c>
      <x:c r="F25" s="41" t="str">
        <x:v>推論の素材</x:v>
      </x:c>
      <x:c r="G25" s="41" t="str">
        <x:v>宮中祭祀の説明</x:v>
      </x:c>
      <x:c r="H25" s="41" t="str">
        <x:v>祭祀記録の種類・所有・権利を示さない</x:v>
      </x:c>
    </x:row>
    <x:row r="26">
      <x:c r="A26" s="41" t="str">
        <x:v>CE-022</x:v>
      </x:c>
      <x:c r="B26" s="41" t="str">
        <x:v>TRF-011</x:v>
      </x:c>
      <x:c r="C26" s="41" t="str">
        <x:v>対象</x:v>
      </x:c>
      <x:c r="D26" s="41" t="str">
        <x:v>宮内庁は年間約20件近くの宮中祭祀を説明している。</x:v>
      </x:c>
      <x:c r="E26" s="41" t="str">
        <x:v>S06</x:v>
      </x:c>
      <x:c r="F26" s="41" t="str">
        <x:v>直接支持</x:v>
      </x:c>
      <x:c r="G26" s="41" t="str">
        <x:v>年間祭典の説明</x:v>
      </x:c>
      <x:c r="H26" s="41" t="str">
        <x:v>祭儀別費用・法的分類は示さない</x:v>
      </x:c>
    </x:row>
    <x:row r="27">
      <x:c r="A27" s="41" t="str">
        <x:v>CE-023</x:v>
      </x:c>
      <x:c r="B27" s="41" t="str">
        <x:v>TRF-011</x:v>
      </x:c>
      <x:c r="C27" s="41" t="str">
        <x:v>財源・費用</x:v>
      </x:c>
      <x:c r="D27" s="41" t="str">
        <x:v>過去の国会審議に祭祀費用と内廷費の関係に関する説明がある。</x:v>
      </x:c>
      <x:c r="E27" s="41" t="str">
        <x:v>S19</x:v>
      </x:c>
      <x:c r="F27" s="41" t="str">
        <x:v>直接支持</x:v>
      </x:c>
      <x:c r="G27" s="41" t="str">
        <x:v>国会会議録</x:v>
      </x:c>
      <x:c r="H27" s="41" t="str">
        <x:v>現在の個別支出内訳を証明しない</x:v>
      </x:c>
    </x:row>
    <x:row r="28">
      <x:c r="A28" s="41" t="str">
        <x:v>CE-024</x:v>
      </x:c>
      <x:c r="B28" s="41" t="str">
        <x:v>TRF-012</x:v>
      </x:c>
      <x:c r="C28" s="41" t="str">
        <x:v>文化財指定・保存価値</x:v>
      </x:c>
      <x:c r="D28" s="41" t="str">
        <x:v>無形文化や後継者養成を支援する制度例が存在する。</x:v>
      </x:c>
      <x:c r="E28" s="41" t="str">
        <x:v>S18</x:v>
      </x:c>
      <x:c r="F28" s="41" t="str">
        <x:v>制度例</x:v>
      </x:c>
      <x:c r="G28" s="41" t="str">
        <x:v>令和8年度事業区分</x:v>
      </x:c>
      <x:c r="H28" s="41" t="str">
        <x:v>宮中祭祀への適用を直接支えない</x:v>
      </x:c>
    </x:row>
    <x:row r="29">
      <x:c r="A29" s="41" t="str">
        <x:v>CE-025</x:v>
      </x:c>
      <x:c r="B29" s="41" t="str">
        <x:v>TRF-013</x:v>
      </x:c>
      <x:c r="C29" s="41" t="str">
        <x:v>法的分類</x:v>
      </x:c>
      <x:c r="D29" s="41" t="str">
        <x:v>掌典職は宮内庁とは別の内廷組織である。</x:v>
      </x:c>
      <x:c r="E29" s="41" t="str">
        <x:v>S06</x:v>
      </x:c>
      <x:c r="F29" s="41" t="str">
        <x:v>直接支持</x:v>
      </x:c>
      <x:c r="G29" s="41" t="str">
        <x:v>掌典職の説明</x:v>
      </x:c>
      <x:c r="H29" s="41" t="str">
        <x:v>雇用・財源の詳細は示さない</x:v>
      </x:c>
    </x:row>
    <x:row r="30">
      <x:c r="A30" s="41" t="str">
        <x:v>CE-026</x:v>
      </x:c>
      <x:c r="B30" s="41" t="str">
        <x:v>TRF-013</x:v>
      </x:c>
      <x:c r="C30" s="41" t="str">
        <x:v>宗教的実施主体</x:v>
      </x:c>
      <x:c r="D30" s="41" t="str">
        <x:v>掌典職は宮中祭祀を担当する。</x:v>
      </x:c>
      <x:c r="E30" s="41" t="str">
        <x:v>S06</x:v>
      </x:c>
      <x:c r="F30" s="41" t="str">
        <x:v>直接支持</x:v>
      </x:c>
      <x:c r="G30" s="41" t="str">
        <x:v>掌典職の説明</x:v>
      </x:c>
      <x:c r="H30" s="41" t="str">
        <x:v>祭儀ごとの役割は別確認</x:v>
      </x:c>
    </x:row>
    <x:row r="31">
      <x:c r="A31" s="41" t="str">
        <x:v>CE-027</x:v>
      </x:c>
      <x:c r="B31" s="41" t="str">
        <x:v>TRF-014</x:v>
      </x:c>
      <x:c r="C31" s="41" t="str">
        <x:v>使用・運営主体</x:v>
      </x:c>
      <x:c r="D31" s="41" t="str">
        <x:v>宮内庁には財産・文書・陵墓等の担当組織がある。</x:v>
      </x:c>
      <x:c r="E31" s="41" t="str">
        <x:v>S07</x:v>
      </x:c>
      <x:c r="F31" s="41" t="str">
        <x:v>直接支持</x:v>
      </x:c>
      <x:c r="G31" s="41" t="str">
        <x:v>組織・所掌事務</x:v>
      </x:c>
      <x:c r="H31" s="41" t="str">
        <x:v>個々の職員・職務内容は別確認</x:v>
      </x:c>
    </x:row>
    <x:row r="32">
      <x:c r="A32" s="41" t="str">
        <x:v>CE-028</x:v>
      </x:c>
      <x:c r="B32" s="41" t="str">
        <x:v>TRF-014</x:v>
      </x:c>
      <x:c r="C32" s="41" t="str">
        <x:v>資産管理主体</x:v>
      </x:c>
      <x:c r="D32" s="41" t="str">
        <x:v>書陵部は文書保存・公開および陵墓関係業務を担う。</x:v>
      </x:c>
      <x:c r="E32" s="41" t="str">
        <x:v>S08</x:v>
      </x:c>
      <x:c r="F32" s="41" t="str">
        <x:v>直接支持</x:v>
      </x:c>
      <x:c r="G32" s="41" t="str">
        <x:v>書陵部の説明</x:v>
      </x:c>
      <x:c r="H32" s="41" t="str">
        <x:v>職員の配置・雇用変更に関する法的結論を支えない</x:v>
      </x:c>
    </x:row>
    <x:row r="33">
      <x:c r="A33" s="41" t="str">
        <x:v>CE-029</x:v>
      </x:c>
      <x:c r="B33" s="41" t="str">
        <x:v>TRF-015</x:v>
      </x:c>
      <x:c r="C33" s="41" t="str">
        <x:v>文化財指定・保存価値</x:v>
      </x:c>
      <x:c r="D33" s="41" t="str">
        <x:v>文化財分野で用具整備・後継者養成等を支援する制度例がある。</x:v>
      </x:c>
      <x:c r="E33" s="41" t="str">
        <x:v>S18</x:v>
      </x:c>
      <x:c r="F33" s="41" t="str">
        <x:v>制度例</x:v>
      </x:c>
      <x:c r="G33" s="41" t="str">
        <x:v>令和8年度事業区分</x:v>
      </x:c>
      <x:c r="H33" s="41" t="str">
        <x:v>皇室関係の外部専門職を直接支えない</x:v>
      </x:c>
    </x:row>
    <x:row r="34">
      <x:c r="A34" s="41" t="str">
        <x:v>CE-030</x:v>
      </x:c>
      <x:c r="B34" s="41" t="str">
        <x:v>TRF-016</x:v>
      </x:c>
      <x:c r="C34" s="41" t="str">
        <x:v>法的分類</x:v>
      </x:c>
      <x:c r="D34" s="41" t="str">
        <x:v>内廷費は皇室費の区分として説明される。</x:v>
      </x:c>
      <x:c r="E34" s="41" t="str">
        <x:v>S10</x:v>
      </x:c>
      <x:c r="F34" s="41" t="str">
        <x:v>直接支持</x:v>
      </x:c>
      <x:c r="G34" s="41" t="str">
        <x:v>皇室の経済</x:v>
      </x:c>
      <x:c r="H34" s="41" t="str">
        <x:v>祭祀費の現行内訳を示さない</x:v>
      </x:c>
    </x:row>
    <x:row r="35">
      <x:c r="A35" s="41" t="str">
        <x:v>CE-031</x:v>
      </x:c>
      <x:c r="B35" s="41" t="str">
        <x:v>TRF-016</x:v>
      </x:c>
      <x:c r="C35" s="41" t="str">
        <x:v>宗教的使用</x:v>
      </x:c>
      <x:c r="D35" s="41" t="str">
        <x:v>過去説明では宮中祭祀費用が内廷費に含まれるとされた。</x:v>
      </x:c>
      <x:c r="E35" s="41" t="str">
        <x:v>S19</x:v>
      </x:c>
      <x:c r="F35" s="41" t="str">
        <x:v>直接支持</x:v>
      </x:c>
      <x:c r="G35" s="41" t="str">
        <x:v>国会会議録</x:v>
      </x:c>
      <x:c r="H35" s="41" t="str">
        <x:v>歴史資料であり現行内訳は未確認</x:v>
      </x:c>
    </x:row>
    <x:row r="36">
      <x:c r="A36" s="41" t="str">
        <x:v>CE-032</x:v>
      </x:c>
      <x:c r="B36" s="41" t="str">
        <x:v>TRF-017</x:v>
      </x:c>
      <x:c r="C36" s="41" t="str">
        <x:v>法的分類</x:v>
      </x:c>
      <x:c r="D36" s="41" t="str">
        <x:v>宮廷費は公的活動・皇室用財産管理等に用いる公金である。</x:v>
      </x:c>
      <x:c r="E36" s="41" t="str">
        <x:v>S10</x:v>
      </x:c>
      <x:c r="F36" s="41" t="str">
        <x:v>直接支持</x:v>
      </x:c>
      <x:c r="G36" s="41" t="str">
        <x:v>皇室の経済</x:v>
      </x:c>
      <x:c r="H36" s="41" t="str">
        <x:v>個別の宗教活動費を示さない</x:v>
      </x:c>
    </x:row>
    <x:row r="37">
      <x:c r="A37" s="41" t="str">
        <x:v>CE-033</x:v>
      </x:c>
      <x:c r="B37" s="41" t="str">
        <x:v>TRF-018</x:v>
      </x:c>
      <x:c r="C37" s="41" t="str">
        <x:v>資産管理主体</x:v>
      </x:c>
      <x:c r="D37" s="41" t="str">
        <x:v>宮内庁は行政組織として財産・文書・陵墓等を管理する。</x:v>
      </x:c>
      <x:c r="E37" s="41" t="str">
        <x:v>S07</x:v>
      </x:c>
      <x:c r="F37" s="41" t="str">
        <x:v>公式説明</x:v>
      </x:c>
      <x:c r="G37" s="41" t="str">
        <x:v>組織・所掌事務</x:v>
      </x:c>
      <x:c r="H37" s="41" t="str">
        <x:v>個別予算配分を示さない</x:v>
      </x:c>
    </x:row>
    <x:row r="38">
      <x:c r="A38" s="41" t="str">
        <x:v>CE-034</x:v>
      </x:c>
      <x:c r="B38" s="41" t="str">
        <x:v>TRF-019</x:v>
      </x:c>
      <x:c r="C38" s="41" t="str">
        <x:v>法的分類</x:v>
      </x:c>
      <x:c r="D38" s="41" t="str">
        <x:v>施設・物品管理には契約・調達等が伴う可能性がある。</x:v>
      </x:c>
      <x:c r="E38" s="41" t="str">
        <x:v>S07</x:v>
      </x:c>
      <x:c r="F38" s="41" t="str">
        <x:v>推論の素材</x:v>
      </x:c>
      <x:c r="G38" s="41" t="str">
        <x:v>宮内庁所掌</x:v>
      </x:c>
      <x:c r="H38" s="41" t="str">
        <x:v>個別契約の存在・条件を直接支えない</x:v>
      </x:c>
    </x:row>
    <x:row r="39">
      <x:c r="A39" s="41" t="str">
        <x:v>CE-035</x:v>
      </x:c>
      <x:c r="B39" s="41" t="str">
        <x:v>TRF-020</x:v>
      </x:c>
      <x:c r="C39" s="41" t="str">
        <x:v>一般公開・研究価値</x:v>
      </x:c>
      <x:c r="D39" s="41" t="str">
        <x:v>宮内庁は所蔵資料の保存・公開を行う。</x:v>
      </x:c>
      <x:c r="E39" s="41" t="str">
        <x:v>S08</x:v>
      </x:c>
      <x:c r="F39" s="41" t="str">
        <x:v>一部支持</x:v>
      </x:c>
      <x:c r="G39" s="41" t="str">
        <x:v>書陵部の説明</x:v>
      </x:c>
      <x:c r="H39" s="41" t="str">
        <x:v>著作権・利用権の帰属を示さない</x:v>
      </x:c>
    </x:row>
    <x:row r="40">
      <x:c r="A40" s="41" t="str">
        <x:v>CE-036</x:v>
      </x:c>
      <x:c r="B40" s="41" t="str">
        <x:v>TRF-021</x:v>
      </x:c>
      <x:c r="C40" s="41" t="str">
        <x:v>法的分類</x:v>
      </x:c>
      <x:c r="D40" s="41" t="str">
        <x:v>日本国憲法は、天皇を日本国および日本国民統合の象徴と位置づけ、その地位を主権の存する日本国民の総意に基づくものとし、皇位を世襲と定めている。</x:v>
      </x:c>
      <x:c r="E40" s="41" t="str">
        <x:v>S01</x:v>
      </x:c>
      <x:c r="F40" s="41" t="str">
        <x:v>直接支持</x:v>
      </x:c>
      <x:c r="G40" s="41" t="str">
        <x:v>憲法1条・2条</x:v>
      </x:c>
      <x:c r="H40" s="41" t="str">
        <x:v>現行制度上の地位を示すが、制度終了後の「天皇」名称利用を直接決めない</x:v>
      </x:c>
    </x:row>
    <x:row r="41">
      <x:c r="A41" s="41" t="str">
        <x:v>CE-037</x:v>
      </x:c>
      <x:c r="B41" s="41" t="str">
        <x:v>TRF-021</x:v>
      </x:c>
      <x:c r="C41" s="41" t="str">
        <x:v>法的分類</x:v>
      </x:c>
      <x:c r="D41" s="41" t="str">
        <x:v>皇位継承・皇族制度は皇室典範に定められる。</x:v>
      </x:c>
      <x:c r="E41" s="41" t="str">
        <x:v>S13</x:v>
      </x:c>
      <x:c r="F41" s="41" t="str">
        <x:v>法的前提</x:v>
      </x:c>
      <x:c r="G41" s="41" t="str">
        <x:v>皇室典範</x:v>
      </x:c>
      <x:c r="H41" s="41" t="str">
        <x:v>宗教上の役職名利用を直接決めない</x:v>
      </x:c>
    </x:row>
    <x:row r="42">
      <x:c r="A42" s="41" t="str">
        <x:v>CE-038</x:v>
      </x:c>
      <x:c r="B42" s="41" t="str">
        <x:v>TRF-021</x:v>
      </x:c>
      <x:c r="C42" s="41" t="str">
        <x:v>未確認事項</x:v>
      </x:c>
      <x:c r="D42" s="41" t="str">
        <x:v>法令上の称号詐称規定との関係を確認する必要がある。</x:v>
      </x:c>
      <x:c r="E42" s="41" t="str">
        <x:v>S14</x:v>
      </x:c>
      <x:c r="F42" s="41" t="str">
        <x:v>法的前提</x:v>
      </x:c>
      <x:c r="G42" s="41" t="str">
        <x:v>軽犯罪法1条15号</x:v>
      </x:c>
      <x:c r="H42" s="41" t="str">
        <x:v>制度終了後の適用は未判定</x:v>
      </x:c>
    </x:row>
    <x:row r="43">
      <x:c r="A43" s="41" t="str">
        <x:v>CE-039</x:v>
      </x:c>
      <x:c r="B43" s="41" t="str">
        <x:v>TRF-021</x:v>
      </x:c>
      <x:c r="C43" s="41" t="str">
        <x:v>未確認事項</x:v>
      </x:c>
      <x:c r="D43" s="41" t="str">
        <x:v>商標・標章の規律と名称一般の使用可否は分ける必要がある。</x:v>
      </x:c>
      <x:c r="E43" s="41" t="str">
        <x:v>S20</x:v>
      </x:c>
      <x:c r="F43" s="41" t="str">
        <x:v>反対・制約資料</x:v>
      </x:c>
      <x:c r="G43" s="41" t="str">
        <x:v>登録不可商標の説明</x:v>
      </x:c>
      <x:c r="H43" s="41" t="str">
        <x:v>宗教役職名の一般使用を直接決めない</x:v>
      </x:c>
    </x:row>
    <x:row r="44">
      <x:c r="A44" s="41" t="str">
        <x:v>CE-040</x:v>
      </x:c>
      <x:c r="B44" s="41" t="str">
        <x:v>TRF-022</x:v>
      </x:c>
      <x:c r="C44" s="41" t="str">
        <x:v>法的分類</x:v>
      </x:c>
      <x:c r="D44" s="41" t="str">
        <x:v>菊花紋章等と同一・類似の商標には登録制限がある。</x:v>
      </x:c>
      <x:c r="E44" s="41" t="str">
        <x:v>S20</x:v>
      </x:c>
      <x:c r="F44" s="41" t="str">
        <x:v>直接支持</x:v>
      </x:c>
      <x:c r="G44" s="41" t="str">
        <x:v>特許庁説明</x:v>
      </x:c>
      <x:c r="H44" s="41" t="str">
        <x:v>使用権や制度終了後の規制全体を示さない</x:v>
      </x:c>
    </x:row>
  </x:sheetData>
  <x:mergeCells>
    <x:mergeCell ref="A1:H1"/>
    <x:mergeCell ref="A2:H2"/>
  </x:mergeCells>
  <x:pageMargins left="0.7" right="0.7" top="0.75" bottom="0.75" header="0.3" footer="0.3"/>
  <x:tableParts count="1">
    <x:tablePart xmlns:r="http://schemas.openxmlformats.org/officeDocument/2006/relationships" r:id="R5cb1a989db9a4437"/>
  </x:tableParts>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18" hidden="0" customWidth="1"/>
    <x:col min="4" max="4" width="42" hidden="0" customWidth="1"/>
    <x:col min="5" max="5" width="45" hidden="0" customWidth="1"/>
    <x:col min="6" max="6" width="12" hidden="0" customWidth="1"/>
    <x:col min="7" max="7" width="30" hidden="0" customWidth="1"/>
    <x:col min="8" max="8" width="18" hidden="0" customWidth="1"/>
    <x:col min="9" max="9" width="34" hidden="0" customWidth="1"/>
    <x:col min="10" max="10" width="12" hidden="0" customWidth="1"/>
    <x:col min="11" max="11" width="42" hidden="0" customWidth="1"/>
  </x:cols>
  <x:sheetData>
    <x:row r="1" ht="26" customHeight="1">
      <x:c r="A1" s="47" t="str">
        <x:v>公開出典索引 v0.2.3</x:v>
      </x:c>
      <x:c r="B1" s="47"/>
      <x:c r="C1" s="47"/>
      <x:c r="D1" s="47"/>
      <x:c r="E1" s="47"/>
      <x:c r="F1" s="47"/>
      <x:c r="G1" s="47"/>
      <x:c r="H1" s="47"/>
      <x:c r="I1" s="47"/>
      <x:c r="J1" s="47"/>
      <x:c r="K1" s="47"/>
    </x:row>
    <x:row r="2" ht="34" customHeight="1">
      <x:c r="A2" s="53" t="str">
        <x:v>現行Source ID S01～S24のみを掲載。該当条文・判決頁・取得日・保存媒体・保存SHA-256を登録済みです。保存証跡は内部アーカイブで管理し、P0-01公開ZIPには収録しません。</x:v>
      </x:c>
      <x:c r="B2" s="53"/>
      <x:c r="C2" s="53"/>
      <x:c r="D2" s="53"/>
      <x:c r="E2" s="53"/>
      <x:c r="F2" s="53"/>
      <x:c r="G2" s="53"/>
      <x:c r="H2" s="53"/>
      <x:c r="I2" s="53"/>
      <x:c r="J2" s="53"/>
      <x:c r="K2" s="53"/>
    </x:row>
    <x:row r="4" ht="34" customHeight="1">
      <x:c r="A4" s="61" t="str">
        <x:v>Source ID</x:v>
      </x:c>
      <x:c r="B4" s="61" t="str">
        <x:v>資料名</x:v>
      </x:c>
      <x:c r="C4" s="61" t="str">
        <x:v>発行主体</x:v>
      </x:c>
      <x:c r="D4" s="61" t="str">
        <x:v>URL</x:v>
      </x:c>
      <x:c r="E4" s="61" t="str">
        <x:v>該当条文・判決名・頁・箇所</x:v>
      </x:c>
      <x:c r="F4" s="61" t="str">
        <x:v>取得日</x:v>
      </x:c>
      <x:c r="G4" s="61" t="str">
        <x:v>保存媒体</x:v>
      </x:c>
      <x:c r="H4" s="61" t="str">
        <x:v>保存ファイル</x:v>
      </x:c>
      <x:c r="I4" s="61" t="str">
        <x:v>保存SHA-256</x:v>
      </x:c>
      <x:c r="J4" s="61" t="str">
        <x:v>追跡状態</x:v>
      </x:c>
      <x:c r="K4" s="61" t="str">
        <x:v>利用上の注意</x:v>
      </x:c>
    </x:row>
    <x:row r="5" ht="52" customHeight="1">
      <x:c r="A5" s="67" t="str">
        <x:v>S01</x:v>
      </x:c>
      <x:c r="B5" s="67" t="str">
        <x:v>日本国憲法</x:v>
      </x:c>
      <x:c r="C5" s="67" t="str">
        <x:v>e-Gov法令検索</x:v>
      </x:c>
      <x:c r="D5" s="67" t="str">
        <x:v>https://laws.e-gov.go.jp/law/321CONSTITUTION</x:v>
      </x:c>
      <x:c r="E5" s="67" t="str">
        <x:v>第1条、第2条、第20条、第88条、第89条（Web法令、頁番号は該当なし）</x:v>
      </x:c>
      <x:c r="F5" s="67" t="str">
        <x:v>2026-07-30</x:v>
      </x:c>
      <x:c r="G5" s="67" t="str">
        <x:v>内部保存アーカイブ（UTF-8正規化スナップショット）</x:v>
      </x:c>
      <x:c r="H5" s="67" t="str">
        <x:v>sources/S01.txt</x:v>
      </x:c>
      <x:c r="I5" s="67" t="str">
        <x:v>c3fd74ebf0ba277c5043fdcba9ae68cd2c85ad2f887ae19b55a609725587c78f</x:v>
      </x:c>
      <x:c r="J5" s="67" t="str">
        <x:v>完了</x:v>
      </x:c>
      <x:c r="K5" s="67" t="str">
        <x:v>制度終了後の名称利用や個別資産・支出の扱いを直接決めない。</x:v>
      </x:c>
    </x:row>
    <x:row r="6" ht="52" customHeight="1">
      <x:c r="A6" s="68" t="str">
        <x:v>S02</x:v>
      </x:c>
      <x:c r="B6" s="68" t="str">
        <x:v>宗教法人法</x:v>
      </x:c>
      <x:c r="C6" s="68" t="str">
        <x:v>e-Gov法令検索</x:v>
      </x:c>
      <x:c r="D6" s="68" t="str">
        <x:v>https://laws.e-gov.go.jp/law/326AC0000000126</x:v>
      </x:c>
      <x:c r="E6" s="68" t="str">
        <x:v>第1条、第2条、第4条、第18条、第85条（Web法令、頁番号は該当なし）</x:v>
      </x:c>
      <x:c r="F6" s="68" t="str">
        <x:v>2026-07-30</x:v>
      </x:c>
      <x:c r="G6" s="68" t="str">
        <x:v>内部保存アーカイブ（UTF-8正規化スナップショット）</x:v>
      </x:c>
      <x:c r="H6" s="68" t="str">
        <x:v>sources/S02.txt</x:v>
      </x:c>
      <x:c r="I6" s="68" t="str">
        <x:v>9c97e17dd28b2b60fb74ed23c1afd6f602a4b4b00fcab46d6844f99ad3995c94</x:v>
      </x:c>
      <x:c r="J6" s="68" t="str">
        <x:v>完了</x:v>
      </x:c>
      <x:c r="K6" s="68" t="str">
        <x:v>A004の個別対象が宗教法人となることや、制度終了後の具体的組織形態を直接決めない。</x:v>
      </x:c>
    </x:row>
    <x:row r="7" ht="52" customHeight="1">
      <x:c r="A7" s="67" t="str">
        <x:v>S03</x:v>
      </x:c>
      <x:c r="B7" s="67" t="str">
        <x:v>宗教法人のための運営ガイドブック</x:v>
      </x:c>
      <x:c r="C7" s="67" t="str">
        <x:v>文化庁</x:v>
      </x:c>
      <x:c r="D7" s="67" t="str">
        <x:v>https://www.bunka.go.jp/seisaku/shukyohojin/kanri/pdf/93980601_01.pdf</x:v>
      </x:c>
      <x:c r="E7" s="67" t="str">
        <x:v>PDF pp.5–9（冊子pp.1–5）。第1条・第2条・第85条、責任役員制度（第18条）の解説</x:v>
      </x:c>
      <x:c r="F7" s="67" t="str">
        <x:v>2026-07-30</x:v>
      </x:c>
      <x:c r="G7" s="67" t="str">
        <x:v>内部保存アーカイブ（公式PDF原本）</x:v>
      </x:c>
      <x:c r="H7" s="67" t="str">
        <x:v>sources/S03.pdf</x:v>
      </x:c>
      <x:c r="I7" s="67" t="str">
        <x:v>db451801912d1f2dcdc2fff62fa64f8ab3194bf3cb9c47b8e0ce930414fb75ef</x:v>
      </x:c>
      <x:c r="J7" s="67" t="str">
        <x:v>完了</x:v>
      </x:c>
      <x:c r="K7" s="67" t="str">
        <x:v>一般的な運営解説であり、A004の制度終了後の組織設計を直接決めない。</x:v>
      </x:c>
    </x:row>
    <x:row r="8" ht="52" customHeight="1">
      <x:c r="A8" s="68" t="str">
        <x:v>S04</x:v>
      </x:c>
      <x:c r="B8" s="68" t="str">
        <x:v>孔子廟事件・最高裁大法廷判決</x:v>
      </x:c>
      <x:c r="C8" s="68" t="str">
        <x:v>最高裁判所</x:v>
      </x:c>
      <x:c r="D8" s="68" t="str">
        <x:v>https://www.courts.go.jp/assets/hanrei/hanrei-pdf-90039.pdf</x:v>
      </x:c>
      <x:c r="E8" s="68" t="str">
        <x:v>最大判令和3年2月24日（令和元年（行ツ）第222号・同年（行ヒ）第262号）。PDF pp.5–9、特にp.6判断枠組み・p.9結論</x:v>
      </x:c>
      <x:c r="F8" s="68" t="str">
        <x:v>2026-07-30</x:v>
      </x:c>
      <x:c r="G8" s="68" t="str">
        <x:v>内部保存アーカイブ（公式PDF原本）</x:v>
      </x:c>
      <x:c r="H8" s="68" t="str">
        <x:v>sources/S04.pdf</x:v>
      </x:c>
      <x:c r="I8" s="68" t="str">
        <x:v>af0cb0cc483ee54c3524707b39fee0023548803c34da9b5e0a194ba2859a8b9c</x:v>
      </x:c>
      <x:c r="J8" s="68" t="str">
        <x:v>完了</x:v>
      </x:c>
      <x:c r="K8" s="68" t="str">
        <x:v>A004の個別施設・制度終了後の具体的利用許可の適法性を直接判断した判決ではない。</x:v>
      </x:c>
    </x:row>
    <x:row r="9" ht="52" customHeight="1">
      <x:c r="A9" s="67" t="str">
        <x:v>S05</x:v>
      </x:c>
      <x:c r="B9" s="67" t="str">
        <x:v>空知太神社事件・最高裁大法廷判決</x:v>
      </x:c>
      <x:c r="C9" s="67" t="str">
        <x:v>最高裁判所</x:v>
      </x:c>
      <x:c r="D9" s="67" t="str">
        <x:v>https://www.courts.go.jp/assets/hanrei/hanrei-pdf-38347.pdf</x:v>
      </x:c>
      <x:c r="E9" s="67" t="str">
        <x:v>最大判平成22年1月20日（平成19年（行ツ）第260号）。PDF pp.6–10、特にpp.6–8判断枠組み・pp.9–10適用と結論</x:v>
      </x:c>
      <x:c r="F9" s="67" t="str">
        <x:v>2026-07-30</x:v>
      </x:c>
      <x:c r="G9" s="67" t="str">
        <x:v>内部保存アーカイブ（公式PDF原本）</x:v>
      </x:c>
      <x:c r="H9" s="67" t="str">
        <x:v>sources/S05.pdf</x:v>
      </x:c>
      <x:c r="I9" s="67" t="str">
        <x:v>8ff1db2fd88ffc3dc9fe83268bab9a67dc97eaa7488b64221b1cc155ce77e540</x:v>
      </x:c>
      <x:c r="J9" s="67" t="str">
        <x:v>完了</x:v>
      </x:c>
      <x:c r="K9" s="67" t="str">
        <x:v>A004の個別施設・制度終了後の利用関係を直接判断した判決ではない。</x:v>
      </x:c>
    </x:row>
    <x:row r="10" ht="52" customHeight="1">
      <x:c r="A10" s="68" t="str">
        <x:v>S06</x:v>
      </x:c>
      <x:c r="B10" s="68" t="str">
        <x:v>宮中祭祀</x:v>
      </x:c>
      <x:c r="C10" s="68" t="str">
        <x:v>宮内庁</x:v>
      </x:c>
      <x:c r="D10" s="68" t="str">
        <x:v>https://www.kunaicho.go.jp/learn/gokomu-kyuchu/saishi/</x:v>
      </x:c>
      <x:c r="E10" s="68" t="str">
        <x:v>「宮中三殿」「附属建物」「祭典」「掌典職」の各説明（Webページ、頁番号は該当なし）</x:v>
      </x:c>
      <x:c r="F10" s="68" t="str">
        <x:v>2026-07-30</x:v>
      </x:c>
      <x:c r="G10" s="68" t="str">
        <x:v>内部保存アーカイブ（UTF-8正規化スナップショット）</x:v>
      </x:c>
      <x:c r="H10" s="68" t="str">
        <x:v>sources/S06.txt</x:v>
      </x:c>
      <x:c r="I10" s="68" t="str">
        <x:v>24918358350b38855148884b2acf653aab5bd5a78c28f214091b9c5d428e34b2</x:v>
      </x:c>
      <x:c r="J10" s="68" t="str">
        <x:v>完了</x:v>
      </x:c>
      <x:c r="K10" s="68" t="str">
        <x:v>個別施設の所有・国有財産分類、祭儀別費用、制度終了後の承継方法を示さない。</x:v>
      </x:c>
    </x:row>
    <x:row r="11" ht="52" customHeight="1">
      <x:c r="A11" s="67" t="str">
        <x:v>S07</x:v>
      </x:c>
      <x:c r="B11" s="67" t="str">
        <x:v>宮内庁 組織・所掌事務</x:v>
      </x:c>
      <x:c r="C11" s="67" t="str">
        <x:v>宮内庁</x:v>
      </x:c>
      <x:c r="D11" s="67" t="str">
        <x:v>https://www.kunaicho.go.jp/kunaicho/kunaicho/soshiki.html</x:v>
      </x:c>
      <x:c r="E11" s="67" t="str">
        <x:v>「書陵部（図書課・陵墓課）」「管理部」「正倉院事務所」の説明（Webページ、頁番号は該当なし）</x:v>
      </x:c>
      <x:c r="F11" s="67" t="str">
        <x:v>2026-07-30</x:v>
      </x:c>
      <x:c r="G11" s="67" t="str">
        <x:v>内部保存アーカイブ（UTF-8正規化スナップショット）</x:v>
      </x:c>
      <x:c r="H11" s="67" t="str">
        <x:v>sources/S07.txt</x:v>
      </x:c>
      <x:c r="I11" s="67" t="str">
        <x:v>ada2eb8d59b2f4c921396b7d99d8a0ef20b17fb5f33d2d65cfccf4c4c0334fd0</x:v>
      </x:c>
      <x:c r="J11" s="67" t="str">
        <x:v>完了</x:v>
      </x:c>
      <x:c r="K11" s="67" t="str">
        <x:v>個々の職員、個別資産の台帳分類、契約・予算内訳を示さない。</x:v>
      </x:c>
    </x:row>
    <x:row r="12" ht="52" customHeight="1">
      <x:c r="A12" s="68" t="str">
        <x:v>S08</x:v>
      </x:c>
      <x:c r="B12" s="68" t="str">
        <x:v>書陵部</x:v>
      </x:c>
      <x:c r="C12" s="68" t="str">
        <x:v>宮内庁</x:v>
      </x:c>
      <x:c r="D12" s="68" t="str">
        <x:v>https://www.kunaicho.go.jp/learn/culture/shoryobu/</x:v>
      </x:c>
      <x:c r="E12" s="68" t="str">
        <x:v>書陵部の資料保存・整理・公開、陵墓の管理・調査に関する説明（Webページ、頁番号は該当なし）</x:v>
      </x:c>
      <x:c r="F12" s="68" t="str">
        <x:v>2026-07-30</x:v>
      </x:c>
      <x:c r="G12" s="68" t="str">
        <x:v>内部保存アーカイブ（UTF-8正規化スナップショット）</x:v>
      </x:c>
      <x:c r="H12" s="68" t="str">
        <x:v>sources/S08.txt</x:v>
      </x:c>
      <x:c r="I12" s="68" t="str">
        <x:v>2d728f165c8d07e7142eed4fcbc5a8993e1c21df28842d197f304fb1e05337fe</x:v>
      </x:c>
      <x:c r="J12" s="68" t="str">
        <x:v>完了</x:v>
      </x:c>
      <x:c r="K12" s="68" t="str">
        <x:v>個別資料の所有・著作権・公開制限や、個別陵墓の法的区分を示さない。</x:v>
      </x:c>
    </x:row>
    <x:row r="13" ht="52" customHeight="1">
      <x:c r="A13" s="67" t="str">
        <x:v>S09</x:v>
      </x:c>
      <x:c r="B13" s="67" t="str">
        <x:v>歴代天皇陵のご案内</x:v>
      </x:c>
      <x:c r="C13" s="67" t="str">
        <x:v>宮内庁</x:v>
      </x:c>
      <x:c r="D13" s="67" t="str">
        <x:v>https://www.kunaicho.go.jp/visit/ryobo/index.html</x:v>
      </x:c>
      <x:c r="E13" s="67" t="str">
        <x:v>「歴代天皇陵のご案内」および公式サブページ「陵墓参拝時の留意事項」</x:v>
      </x:c>
      <x:c r="F13" s="67" t="str">
        <x:v>2026-07-30</x:v>
      </x:c>
      <x:c r="G13" s="67" t="str">
        <x:v>内部保存アーカイブ（UTF-8正規化スナップショット）</x:v>
      </x:c>
      <x:c r="H13" s="67" t="str">
        <x:v>sources/S09.txt</x:v>
      </x:c>
      <x:c r="I13" s="67" t="str">
        <x:v>eb6cdf8a35a112b0f8d346abe6b0e09fd938aaac04c82ae5fd942d9a42d08abc</x:v>
      </x:c>
      <x:c r="J13" s="67" t="str">
        <x:v>完了</x:v>
      </x:c>
      <x:c r="K13" s="67" t="str">
        <x:v>外部研究者の学術調査・研究利用の条件や、制度終了後の公開・調査政策を示さない。</x:v>
      </x:c>
    </x:row>
    <x:row r="14" ht="52" customHeight="1">
      <x:c r="A14" s="68" t="str">
        <x:v>S10</x:v>
      </x:c>
      <x:c r="B14" s="68" t="str">
        <x:v>皇室の経済</x:v>
      </x:c>
      <x:c r="C14" s="68" t="str">
        <x:v>宮内庁</x:v>
      </x:c>
      <x:c r="D14" s="68" t="str">
        <x:v>https://www.kunaicho.go.jp/learn/institution/seido/seido08/</x:v>
      </x:c>
      <x:c r="E14" s="68" t="str">
        <x:v>「皇室財産」「皇室費（内廷費・皇族費・宮廷費）」「由緒ある物」の説明（Webページ、頁番号は該当なし）</x:v>
      </x:c>
      <x:c r="F14" s="68" t="str">
        <x:v>2026-07-30</x:v>
      </x:c>
      <x:c r="G14" s="68" t="str">
        <x:v>内部保存アーカイブ（UTF-8正規化スナップショット）</x:v>
      </x:c>
      <x:c r="H14" s="68" t="str">
        <x:v>sources/S10.txt</x:v>
      </x:c>
      <x:c r="I14" s="68" t="str">
        <x:v>ebd88186a21523f833377ba32832eeae6205cdcc5092242d831655568475668c</x:v>
      </x:c>
      <x:c r="J14" s="68" t="str">
        <x:v>完了</x:v>
      </x:c>
      <x:c r="K14" s="68" t="str">
        <x:v>個別支出、個別物件、祭祀費の現行内訳を示す台帳ではない。</x:v>
      </x:c>
    </x:row>
    <x:row r="15" ht="52" customHeight="1">
      <x:c r="A15" s="67" t="str">
        <x:v>S11</x:v>
      </x:c>
      <x:c r="B15" s="67" t="str">
        <x:v>宮内庁法</x:v>
      </x:c>
      <x:c r="C15" s="67" t="str">
        <x:v>e-Gov法令検索</x:v>
      </x:c>
      <x:c r="D15" s="67" t="str">
        <x:v>https://laws.e-gov.go.jp/law/322AC0000000070</x:v>
      </x:c>
      <x:c r="E15" s="67" t="str">
        <x:v>第1条、第2条第11号～第14号・第18号（Web法令、頁番号は該当なし）</x:v>
      </x:c>
      <x:c r="F15" s="67" t="str">
        <x:v>2026-07-30</x:v>
      </x:c>
      <x:c r="G15" s="67" t="str">
        <x:v>内部保存アーカイブ（UTF-8正規化スナップショット）</x:v>
      </x:c>
      <x:c r="H15" s="67" t="str">
        <x:v>sources/S11.txt</x:v>
      </x:c>
      <x:c r="I15" s="67" t="str">
        <x:v>040c79c81ad24f763e7e0a98ec0ce91416beab27483e797ec4ebc518f3543de5</x:v>
      </x:c>
      <x:c r="J15" s="67" t="str">
        <x:v>完了</x:v>
      </x:c>
      <x:c r="K15" s="67" t="str">
        <x:v>個別対象の台帳分類、管理部署、費用や制度終了後の扱いを直接示さない。</x:v>
      </x:c>
    </x:row>
    <x:row r="16" ht="52" customHeight="1">
      <x:c r="A16" s="68" t="str">
        <x:v>S12</x:v>
      </x:c>
      <x:c r="B16" s="68" t="str">
        <x:v>宮内庁組織令</x:v>
      </x:c>
      <x:c r="C16" s="68" t="str">
        <x:v>e-Gov法令検索</x:v>
      </x:c>
      <x:c r="D16" s="68" t="str">
        <x:v>https://laws.e-gov.go.jp/law/327CO0000000377/</x:v>
      </x:c>
      <x:c r="E16" s="68" t="str">
        <x:v>第8条（書陵部）、第9条（管理部）、第20条～第24条（図書課・陵墓課・管理課等）（Web法令、頁番号は該当なし）</x:v>
      </x:c>
      <x:c r="F16" s="68" t="str">
        <x:v>2026-07-30</x:v>
      </x:c>
      <x:c r="G16" s="68" t="str">
        <x:v>内部保存アーカイブ（UTF-8正規化スナップショット）</x:v>
      </x:c>
      <x:c r="H16" s="68" t="str">
        <x:v>sources/S12.txt</x:v>
      </x:c>
      <x:c r="I16" s="68" t="str">
        <x:v>981d8a63709f2e5bb52add7ae523e79060a83eda0c186e4303961b98ceb2f8b3</x:v>
      </x:c>
      <x:c r="J16" s="68" t="str">
        <x:v>完了</x:v>
      </x:c>
      <x:c r="K16" s="68" t="str">
        <x:v>個別対象の台帳分類、具体的な権利関係や制度終了後の扱いを示さない。</x:v>
      </x:c>
    </x:row>
    <x:row r="17" ht="52" customHeight="1">
      <x:c r="A17" s="67" t="str">
        <x:v>S13</x:v>
      </x:c>
      <x:c r="B17" s="67" t="str">
        <x:v>皇室典範</x:v>
      </x:c>
      <x:c r="C17" s="67" t="str">
        <x:v>e-Gov法令検索</x:v>
      </x:c>
      <x:c r="D17" s="67" t="str">
        <x:v>https://laws.e-gov.go.jp/law/322AC0000000003</x:v>
      </x:c>
      <x:c r="E17" s="67" t="str">
        <x:v>第1条～第4条、第5条～第15条、第26条、第27条（Web法令、頁番号は該当なし）</x:v>
      </x:c>
      <x:c r="F17" s="67" t="str">
        <x:v>2026-07-30</x:v>
      </x:c>
      <x:c r="G17" s="67" t="str">
        <x:v>内部保存アーカイブ（UTF-8正規化スナップショット）</x:v>
      </x:c>
      <x:c r="H17" s="67" t="str">
        <x:v>sources/S13.txt</x:v>
      </x:c>
      <x:c r="I17" s="67" t="str">
        <x:v>db5a91cec0e5a13f5a6f5425fc52c8acd0c77ffc9a7f32daa7cc2ea327d2d26c</x:v>
      </x:c>
      <x:c r="J17" s="67" t="str">
        <x:v>完了</x:v>
      </x:c>
      <x:c r="K17" s="67" t="str">
        <x:v>制度終了後の「天皇」名称・宗教上の役職名の利用を直接決めない。</x:v>
      </x:c>
    </x:row>
    <x:row r="18" ht="52" customHeight="1">
      <x:c r="A18" s="68" t="str">
        <x:v>S14</x:v>
      </x:c>
      <x:c r="B18" s="68" t="str">
        <x:v>軽犯罪法</x:v>
      </x:c>
      <x:c r="C18" s="68" t="str">
        <x:v>e-Gov法令検索</x:v>
      </x:c>
      <x:c r="D18" s="68" t="str">
        <x:v>https://laws.e-gov.go.jp/law/323AC0000000039/</x:v>
      </x:c>
      <x:c r="E18" s="68" t="str">
        <x:v>第1条第15号（法令上の称号の詐称）（Web法令、頁番号は該当なし）</x:v>
      </x:c>
      <x:c r="F18" s="68" t="str">
        <x:v>2026-07-30</x:v>
      </x:c>
      <x:c r="G18" s="68" t="str">
        <x:v>内部保存アーカイブ（UTF-8正規化スナップショット）</x:v>
      </x:c>
      <x:c r="H18" s="68" t="str">
        <x:v>sources/S14.txt</x:v>
      </x:c>
      <x:c r="I18" s="68" t="str">
        <x:v>b163b78014e8758e717a4e2a3eccdabe222361bfee1e625359e857e95b2333db</x:v>
      </x:c>
      <x:c r="J18" s="68" t="str">
        <x:v>完了</x:v>
      </x:c>
      <x:c r="K18" s="68" t="str">
        <x:v>制度終了後の宗教上の役職名利用や具体的適用関係を直接決めない。</x:v>
      </x:c>
    </x:row>
    <x:row r="19" ht="52" customHeight="1">
      <x:c r="A19" s="67" t="str">
        <x:v>S15</x:v>
      </x:c>
      <x:c r="B19" s="67" t="str">
        <x:v>国の施設の有効活用</x:v>
      </x:c>
      <x:c r="C19" s="67" t="str">
        <x:v>財務省</x:v>
      </x:c>
      <x:c r="D19" s="67" t="str">
        <x:v>https://www.mof.go.jp/policy/national_property/topics/siyoukyoka.html</x:v>
      </x:c>
      <x:c r="E19" s="67" t="str">
        <x:v>「行政財産の使用許可制度」「手続」「国有財産法第18条第6項」の説明（Webページ、頁番号は該当なし）</x:v>
      </x:c>
      <x:c r="F19" s="67" t="str">
        <x:v>2026-07-30</x:v>
      </x:c>
      <x:c r="G19" s="67" t="str">
        <x:v>内部保存アーカイブ（UTF-8正規化スナップショット）</x:v>
      </x:c>
      <x:c r="H19" s="67" t="str">
        <x:v>sources/S15.txt</x:v>
      </x:c>
      <x:c r="I19" s="67" t="str">
        <x:v>b01b2e67fb00dd79808be4e3816de7358084eb24dc48d71bc5210e416f277866</x:v>
      </x:c>
      <x:c r="J19" s="67" t="str">
        <x:v>完了</x:v>
      </x:c>
      <x:c r="K19" s="67" t="str">
        <x:v>皇室用財産やA004の個別施設への適用可否・条件を直接示さない。</x:v>
      </x:c>
    </x:row>
    <x:row r="20" ht="52" customHeight="1">
      <x:c r="A20" s="68" t="str">
        <x:v>S16</x:v>
      </x:c>
      <x:c r="B20" s="68" t="str">
        <x:v>文化財保護法</x:v>
      </x:c>
      <x:c r="C20" s="68" t="str">
        <x:v>e-Gov法令検索</x:v>
      </x:c>
      <x:c r="D20" s="68" t="str">
        <x:v>https://laws.e-gov.go.jp/law/325AC0100000214</x:v>
      </x:c>
      <x:c r="E20" s="68" t="str">
        <x:v>第35条（重要文化財の管理又は修理の補助）（Web法令、頁番号は該当なし）</x:v>
      </x:c>
      <x:c r="F20" s="68" t="str">
        <x:v>2026-07-30</x:v>
      </x:c>
      <x:c r="G20" s="68" t="str">
        <x:v>内部保存アーカイブ（UTF-8正規化スナップショット）</x:v>
      </x:c>
      <x:c r="H20" s="68" t="str">
        <x:v>sources/S16.txt</x:v>
      </x:c>
      <x:c r="I20" s="68" t="str">
        <x:v>75b5143f9dacd89ec94c3c29db11a6450f51c9a1c20d1dec7f48e9917d103c47</x:v>
      </x:c>
      <x:c r="J20" s="68" t="str">
        <x:v>完了</x:v>
      </x:c>
      <x:c r="K20" s="68" t="str">
        <x:v>A004の個別対象が文化財指定を受けていることや、当該補助の適用を直接示さない。</x:v>
      </x:c>
    </x:row>
    <x:row r="21" ht="52" customHeight="1">
      <x:c r="A21" s="67" t="str">
        <x:v>S17</x:v>
      </x:c>
      <x:c r="B21" s="67" t="str">
        <x:v>文化財</x:v>
      </x:c>
      <x:c r="C21" s="67" t="str">
        <x:v>文化庁</x:v>
      </x:c>
      <x:c r="D21" s="67" t="str">
        <x:v>https://www.bunka.go.jp/seisaku/bunkazai/</x:v>
      </x:c>
      <x:c r="E21" s="67" t="str">
        <x:v>文化財の指定・選定・登録、修理・防災・公開等に関する制度説明（Webページ、頁番号は該当なし）</x:v>
      </x:c>
      <x:c r="F21" s="67" t="str">
        <x:v>2026-07-30</x:v>
      </x:c>
      <x:c r="G21" s="67" t="str">
        <x:v>内部保存アーカイブ（UTF-8正規化スナップショット）</x:v>
      </x:c>
      <x:c r="H21" s="67" t="str">
        <x:v>sources/S17.txt</x:v>
      </x:c>
      <x:c r="I21" s="67" t="str">
        <x:v>6defae3d7c6ee442a5d829bc651a2e117a738e53bb02da569ee707981a033aae</x:v>
      </x:c>
      <x:c r="J21" s="67" t="str">
        <x:v>完了</x:v>
      </x:c>
      <x:c r="K21" s="67" t="str">
        <x:v>A004の個別対象の指定状況、所有、適用制度を示さない。</x:v>
      </x:c>
    </x:row>
    <x:row r="22" ht="52" customHeight="1">
      <x:c r="A22" s="68" t="str">
        <x:v>S18</x:v>
      </x:c>
      <x:c r="B22" s="68" t="str">
        <x:v>令和8年度地域文化財総合活用推進事業</x:v>
      </x:c>
      <x:c r="C22" s="68" t="str">
        <x:v>文化庁</x:v>
      </x:c>
      <x:c r="D22" s="68" t="str">
        <x:v>https://www.bunka.go.jp/seisaku/bunkazai/joseishien/chiiki_kasseika/r08_sogokatsuyo/</x:v>
      </x:c>
      <x:c r="E22" s="68" t="str">
        <x:v>事業目的、地域文化遺産・無形文化・用具整備・後継者養成等の事業区分（Webページ、頁番号は該当なし）</x:v>
      </x:c>
      <x:c r="F22" s="68" t="str">
        <x:v>2026-07-30</x:v>
      </x:c>
      <x:c r="G22" s="68" t="str">
        <x:v>内部保存アーカイブ（UTF-8正規化スナップショット）</x:v>
      </x:c>
      <x:c r="H22" s="68" t="str">
        <x:v>sources/S18.txt</x:v>
      </x:c>
      <x:c r="I22" s="68" t="str">
        <x:v>10f60a50397ebc00b03998291d0e511f45c28e3ccb821f8dba19102f168326d1</x:v>
      </x:c>
      <x:c r="J22" s="68" t="str">
        <x:v>完了</x:v>
      </x:c>
      <x:c r="K22" s="68" t="str">
        <x:v>宗教行事の扱い、皇室関係資産・技能への適用をこのページだけでは立証しない。</x:v>
      </x:c>
    </x:row>
    <x:row r="23" ht="52" customHeight="1">
      <x:c r="A23" s="67" t="str">
        <x:v>S19</x:v>
      </x:c>
      <x:c r="B23" s="67" t="str">
        <x:v>国会会議録（宮中祭祀と内廷費に関する質疑）</x:v>
      </x:c>
      <x:c r="C23" s="67" t="str">
        <x:v>国立国会図書館</x:v>
      </x:c>
      <x:c r="D23" s="67" t="str">
        <x:v>https://kokkai.ndl.go.jp/simple/detail?minId=110114889X00519840412</x:v>
      </x:c>
      <x:c r="E23" s="67" t="str">
        <x:v>第101回国会 参議院 内閣委員会 第5号（昭和59年4月12日）、発言番号74～78（特に78）</x:v>
      </x:c>
      <x:c r="F23" s="67" t="str">
        <x:v>2026-07-30</x:v>
      </x:c>
      <x:c r="G23" s="67" t="str">
        <x:v>内部保存アーカイブ（UTF-8正規化スナップショット）</x:v>
      </x:c>
      <x:c r="H23" s="67" t="str">
        <x:v>sources/S19.txt</x:v>
      </x:c>
      <x:c r="I23" s="67" t="str">
        <x:v>9bd924c7438809aead8b44213545c331a391169ce77d3dbc9ac59271fd719bee</x:v>
      </x:c>
      <x:c r="J23" s="67" t="str">
        <x:v>完了</x:v>
      </x:c>
      <x:c r="K23" s="67" t="str">
        <x:v>歴史資料であり、現在の個別支出内訳や制度終了後の財源を証明しない。</x:v>
      </x:c>
    </x:row>
    <x:row r="24" ht="52" customHeight="1">
      <x:c r="A24" s="68" t="str">
        <x:v>S20</x:v>
      </x:c>
      <x:c r="B24" s="68" t="str">
        <x:v>出願しても登録にならない商標</x:v>
      </x:c>
      <x:c r="C24" s="68" t="str">
        <x:v>特許庁</x:v>
      </x:c>
      <x:c r="D24" s="68" t="str">
        <x:v>https://www.jpo.go.jp/system/trademark/shutugan/tetuzuki/mitoroku.html</x:v>
      </x:c>
      <x:c r="E24" s="68" t="str">
        <x:v>商標法第4条第1項第1号の説明「国旗、菊花紋章等」（Webページ・公式資料、頁番号は該当なし）</x:v>
      </x:c>
      <x:c r="F24" s="68" t="str">
        <x:v>2026-07-30</x:v>
      </x:c>
      <x:c r="G24" s="68" t="str">
        <x:v>内部保存アーカイブ（UTF-8正規化スナップショット）</x:v>
      </x:c>
      <x:c r="H24" s="68" t="str">
        <x:v>sources/S20.txt</x:v>
      </x:c>
      <x:c r="I24" s="68" t="str">
        <x:v>74905daea9beb6d4bf69afecac291dc345239eea8754b7926818e124b96a4ee1</x:v>
      </x:c>
      <x:c r="J24" s="68" t="str">
        <x:v>完了</x:v>
      </x:c>
      <x:c r="K24" s="68" t="str">
        <x:v>名称一般、宗教上の役職名、標章の使用権や制度終了後の規制全体を直接決めない。</x:v>
      </x:c>
    </x:row>
    <x:row r="25" ht="52" customHeight="1">
      <x:c r="A25" s="67" t="str">
        <x:v>S21</x:v>
      </x:c>
      <x:c r="B25" s="67" t="str">
        <x:v>天皇の退位等に関する皇室典範特例法</x:v>
      </x:c>
      <x:c r="C25" s="67" t="str">
        <x:v>e-Gov法令検索</x:v>
      </x:c>
      <x:c r="D25" s="67" t="str">
        <x:v>https://laws.e-gov.go.jp/law/429AC0000000063</x:v>
      </x:c>
      <x:c r="E25" s="67" t="str">
        <x:v>第2条（退位と皇嗣の即位）、第3条（上皇）（Web法令、頁番号は該当なし）</x:v>
      </x:c>
      <x:c r="F25" s="67" t="str">
        <x:v>2026-07-30</x:v>
      </x:c>
      <x:c r="G25" s="67" t="str">
        <x:v>内部保存アーカイブ（UTF-8正規化スナップショット）</x:v>
      </x:c>
      <x:c r="H25" s="67" t="str">
        <x:v>sources/S21.txt</x:v>
      </x:c>
      <x:c r="I25" s="67" t="str">
        <x:v>422d5167c193e8ba4e68a13b75cbf172281a8702ac993219c3732e4f4304e2d6</x:v>
      </x:c>
      <x:c r="J25" s="67" t="str">
        <x:v>完了</x:v>
      </x:c>
      <x:c r="K25" s="67" t="str">
        <x:v>一般的・恒久的な退位制度や、天皇制終了の制度設計を直接示さない。</x:v>
      </x:c>
    </x:row>
    <x:row r="26" ht="52" customHeight="1">
      <x:c r="A26" s="68" t="str">
        <x:v>S22</x:v>
      </x:c>
      <x:c r="B26" s="68" t="str">
        <x:v>皇室経済法</x:v>
      </x:c>
      <x:c r="C26" s="68" t="str">
        <x:v>e-Gov法令検索</x:v>
      </x:c>
      <x:c r="D26" s="68" t="str">
        <x:v>https://laws.e-gov.go.jp/law/322AC0000000004/</x:v>
      </x:c>
      <x:c r="E26" s="68" t="str">
        <x:v>第7条（皇位とともに伝わるべき由緒ある物）（Web法令、頁番号は該当なし）</x:v>
      </x:c>
      <x:c r="F26" s="68" t="str">
        <x:v>2026-07-30</x:v>
      </x:c>
      <x:c r="G26" s="68" t="str">
        <x:v>内部保存アーカイブ（UTF-8正規化スナップショット）</x:v>
      </x:c>
      <x:c r="H26" s="68" t="str">
        <x:v>sources/S22.txt</x:v>
      </x:c>
      <x:c r="I26" s="68" t="str">
        <x:v>3357324bc846469866769059b3a7f4b9129b7fe9c26065bb71e054548d363e9f</x:v>
      </x:c>
      <x:c r="J26" s="68" t="str">
        <x:v>完了</x:v>
      </x:c>
      <x:c r="K26" s="68" t="str">
        <x:v>所有者、個別目録、処分制限、制度終了時の帰属を直接確定しない。</x:v>
      </x:c>
    </x:row>
    <x:row r="27" ht="52" customHeight="1">
      <x:c r="A27" s="67" t="str">
        <x:v>S23</x:v>
      </x:c>
      <x:c r="B27" s="67" t="str">
        <x:v>国有財産法</x:v>
      </x:c>
      <x:c r="C27" s="67" t="str">
        <x:v>e-Gov法令検索</x:v>
      </x:c>
      <x:c r="D27" s="67" t="str">
        <x:v>https://laws.e-gov.go.jp/law/323AC0000000073</x:v>
      </x:c>
      <x:c r="E27" s="67" t="str">
        <x:v>第3条第2項第3号、第13条、第18条第6項（Web法令、頁番号は該当なし）</x:v>
      </x:c>
      <x:c r="F27" s="67" t="str">
        <x:v>2026-07-30</x:v>
      </x:c>
      <x:c r="G27" s="67" t="str">
        <x:v>内部保存アーカイブ（UTF-8正規化スナップショット）</x:v>
      </x:c>
      <x:c r="H27" s="67" t="str">
        <x:v>sources/S23.txt</x:v>
      </x:c>
      <x:c r="I27" s="67" t="str">
        <x:v>cf44b390d1eadf6dd77cca51b90a9b835fffe72e5a6262e63573461bc57cf289</x:v>
      </x:c>
      <x:c r="J27" s="67" t="str">
        <x:v>完了</x:v>
      </x:c>
      <x:c r="K27" s="67" t="str">
        <x:v>個別施設・物品の国有財産台帳分類や、制度終了後の取扱いを示さない。</x:v>
      </x:c>
    </x:row>
    <x:row r="28" ht="52" customHeight="1">
      <x:c r="A28" s="68" t="str">
        <x:v>S24</x:v>
      </x:c>
      <x:c r="B28" s="68" t="str">
        <x:v>皇室用財産</x:v>
      </x:c>
      <x:c r="C28" s="68" t="str">
        <x:v>宮内庁</x:v>
      </x:c>
      <x:c r="D28" s="68" t="str">
        <x:v>https://www.kunaicho.go.jp/kunaicho/kunaicho/zaisan.html</x:v>
      </x:c>
      <x:c r="E28" s="68" t="str">
        <x:v>皇室用財産の定義および皇居・正倉院・陵墓等の一覧（Webページ、頁番号は該当なし）</x:v>
      </x:c>
      <x:c r="F28" s="68" t="str">
        <x:v>2026-07-30</x:v>
      </x:c>
      <x:c r="G28" s="68" t="str">
        <x:v>内部保存アーカイブ（UTF-8正規化スナップショット）</x:v>
      </x:c>
      <x:c r="H28" s="68" t="str">
        <x:v>sources/S24.txt</x:v>
      </x:c>
      <x:c r="I28" s="68" t="str">
        <x:v>a41f5c6d3d1d7e81a0a789bb66b1b071be98ce901a43293dbfc73cf2bd81f342</x:v>
      </x:c>
      <x:c r="J28" s="68" t="str">
        <x:v>完了</x:v>
      </x:c>
      <x:c r="K28" s="68" t="str">
        <x:v>土地・建物等の大分類であり、祭具・文書・収蔵物等の個別所有・分類を示さない。</x:v>
      </x:c>
    </x:row>
  </x:sheetData>
  <x:mergeCells>
    <x:mergeCell ref="A1:K1"/>
    <x:mergeCell ref="A2:K2"/>
  </x:mergeCells>
  <x:pageMargins left="0.7" right="0.7" top="0.75" bottom="0.75" header="0.3" footer="0.3"/>
  <x:tableParts count="1">
    <x:tablePart xmlns:r="http://schemas.openxmlformats.org/officeDocument/2006/relationships" r:id="Rf1a54b5bc03547a7"/>
  </x:tableParts>
</x:worksheet>
</file>

<file path=xl/worksheets/sheet6.xml><?xml version="1.0" encoding="utf-8"?>
<x:worksheet xmlns:x="http://schemas.openxmlformats.org/spreadsheetml/2006/main">
  <x:sheetFormatPr defaultRowHeight="15"/>
  <x:cols>
    <x:col min="1" max="1" width="20" hidden="0" customWidth="1"/>
    <x:col min="2" max="2" width="24" hidden="0" customWidth="1"/>
    <x:col min="3" max="3" width="70" hidden="0" customWidth="1"/>
  </x:cols>
  <x:sheetData>
    <x:row r="1">
      <x:c r="A1" s="28" t="str">
        <x:v>区分・統制語彙の定義</x:v>
      </x:c>
      <x:c r="B1" s="28"/>
      <x:c r="C1" s="28"/>
    </x:row>
    <x:row r="4">
      <x:c r="A4" s="18" t="str">
        <x:v>項目</x:v>
      </x:c>
      <x:c r="B4" s="18" t="str">
        <x:v>種別</x:v>
      </x:c>
      <x:c r="C4" s="18" t="str">
        <x:v>定義・運用</x:v>
      </x:c>
    </x:row>
    <x:row r="5">
      <x:c r="A5" s="37" t="str">
        <x:v>確認済み</x:v>
      </x:c>
      <x:c r="B5" s="37" t="str">
        <x:v>確認ステータス</x:v>
      </x:c>
      <x:c r="C5" s="37" t="str">
        <x:v>公式一次資料が対象行の主要事実を直接支える。</x:v>
      </x:c>
    </x:row>
    <x:row r="6">
      <x:c r="A6" s="37" t="str">
        <x:v>限定確認</x:v>
      </x:c>
      <x:c r="B6" s="37" t="str">
        <x:v>確認ステータス</x:v>
      </x:c>
      <x:c r="C6" s="37" t="str">
        <x:v>一部事実は確認できるが、対象全体・個別適用・制度終了後の実現可能性は未判定。</x:v>
      </x:c>
    </x:row>
    <x:row r="7">
      <x:c r="A7" s="37" t="str">
        <x:v>未確認</x:v>
      </x:c>
      <x:c r="B7" s="37" t="str">
        <x:v>確認ステータス</x:v>
      </x:c>
      <x:c r="C7" s="37" t="str">
        <x:v>現時点の公式資料から判断しない。推測で補わない。</x:v>
      </x:c>
    </x:row>
    <x:row r="8">
      <x:c r="A8" s="37" t="str">
        <x:v>推論</x:v>
      </x:c>
      <x:c r="B8" s="37" t="str">
        <x:v>確認ステータス</x:v>
      </x:c>
      <x:c r="C8" s="37" t="str">
        <x:v>確認済み事実からの制度設計上の推論。法的結論ではない。</x:v>
      </x:c>
    </x:row>
    <x:row r="9">
      <x:c r="A9" s="37" t="str">
        <x:v>専門確認推奨</x:v>
      </x:c>
      <x:c r="B9" s="37" t="str">
        <x:v>確認ステータス</x:v>
      </x:c>
      <x:c r="C9" s="37" t="str">
        <x:v>Research Betaで未判定として扱えるが、確定論には専門家確認が必要。</x:v>
      </x:c>
    </x:row>
    <x:row r="10">
      <x:c r="A10" s="37" t="str">
        <x:v>直接支持</x:v>
      </x:c>
      <x:c r="B10" s="37" t="str">
        <x:v>関係種別</x:v>
      </x:c>
      <x:c r="C10" s="37" t="str">
        <x:v>SourceがClaim本文を直接支える。</x:v>
      </x:c>
    </x:row>
    <x:row r="11">
      <x:c r="A11" s="37" t="str">
        <x:v>一部支持</x:v>
      </x:c>
      <x:c r="B11" s="37" t="str">
        <x:v>関係種別</x:v>
      </x:c>
      <x:c r="C11" s="37" t="str">
        <x:v>Claimの一部だけを支え、他の要素は未確認。</x:v>
      </x:c>
    </x:row>
    <x:row r="12">
      <x:c r="A12" s="37" t="str">
        <x:v>法的前提</x:v>
      </x:c>
      <x:c r="B12" s="37" t="str">
        <x:v>関係種別</x:v>
      </x:c>
      <x:c r="C12" s="37" t="str">
        <x:v>直接の個別事実ではなく、適用関係を検討する法的前提。</x:v>
      </x:c>
    </x:row>
    <x:row r="13">
      <x:c r="A13" s="37" t="str">
        <x:v>公式説明</x:v>
      </x:c>
      <x:c r="B13" s="37" t="str">
        <x:v>関係種別</x:v>
      </x:c>
      <x:c r="C13" s="37" t="str">
        <x:v>行政機関等による現行制度・組織の公式説明。</x:v>
      </x:c>
    </x:row>
    <x:row r="14">
      <x:c r="A14" s="37" t="str">
        <x:v>制度例</x:v>
      </x:c>
      <x:c r="B14" s="37" t="str">
        <x:v>関係種別</x:v>
      </x:c>
      <x:c r="C14" s="37" t="str">
        <x:v>他制度の存在を示す例。対象への直接適用を支えない。</x:v>
      </x:c>
    </x:row>
    <x:row r="15">
      <x:c r="A15" s="37" t="str">
        <x:v>推論の素材</x:v>
      </x:c>
      <x:c r="B15" s="37" t="str">
        <x:v>関係種別</x:v>
      </x:c>
      <x:c r="C15" s="37" t="str">
        <x:v>制度設計上の推論に使うが、結論を直接支えない。</x:v>
      </x:c>
    </x:row>
    <x:row r="16">
      <x:c r="A16" s="37" t="str">
        <x:v>反対・制約資料</x:v>
      </x:c>
      <x:c r="B16" s="37" t="str">
        <x:v>関係種別</x:v>
      </x:c>
      <x:c r="C16" s="37" t="str">
        <x:v>Claimを限定し、断定を避けるための資料。</x:v>
      </x:c>
    </x:row>
    <x:row r="17">
      <x:c r="A17" s="37" t="str">
        <x:v>未確認</x:v>
      </x:c>
      <x:c r="B17" s="37" t="str">
        <x:v>名称問題の三層</x:v>
      </x:c>
      <x:c r="C17" s="37" t="str">
        <x:v>台帳上の資料確認状態。</x:v>
      </x:c>
    </x:row>
    <x:row r="18">
      <x:c r="A18" s="37" t="str">
        <x:v>未判定</x:v>
      </x:c>
      <x:c r="B18" s="37" t="str">
        <x:v>名称問題の三層</x:v>
      </x:c>
      <x:c r="C18" s="37" t="str">
        <x:v>A004としての結論状態。制度終了後の「天皇」名称利用は未判定。</x:v>
      </x:c>
    </x:row>
    <x:row r="19">
      <x:c r="A19" s="37" t="str">
        <x:v>直接決めない</x:v>
      </x:c>
      <x:c r="B19" s="37" t="str">
        <x:v>名称問題の三層</x:v>
      </x:c>
      <x:c r="C19" s="37" t="str">
        <x:v>個別Sourceの射程。Source単独から制度終了後の名称利用を結論しない。</x:v>
      </x:c>
    </x:row>
  </x:sheetData>
  <x:mergeCells>
    <x:mergeCell ref="A1:C1"/>
  </x:mergeCells>
  <x:pageMargins left="0.7" right="0.7" top="0.75" bottom="0.75" header="0.3" footer="0.3"/>
  <x:tableParts count="1">
    <x:tablePart xmlns:r="http://schemas.openxmlformats.org/officeDocument/2006/relationships" r:id="Rabfeb3e03857468f"/>
  </x:tableParts>
</x:worksheet>
</file>

<file path=xl/worksheets/sheet7.xml><?xml version="1.0" encoding="utf-8"?>
<x:worksheet xmlns:x="http://schemas.openxmlformats.org/spreadsheetml/2006/main">
  <x:sheetFormatPr defaultRowHeight="15"/>
  <x:cols>
    <x:col min="1" max="1" width="10" hidden="0" customWidth="1"/>
    <x:col min="2" max="2" width="46" hidden="0" customWidth="1"/>
    <x:col min="3" max="3" width="12" hidden="0" customWidth="1"/>
    <x:col min="4" max="4" width="30" hidden="0" customWidth="1"/>
    <x:col min="5" max="5" width="18" hidden="0" customWidth="1"/>
    <x:col min="6" max="6" width="34" hidden="0" customWidth="1"/>
    <x:col min="7" max="7" width="14" hidden="0" customWidth="1"/>
    <x:col min="8" max="8" width="10" hidden="0" customWidth="1"/>
  </x:cols>
  <x:sheetData>
    <x:row r="1" ht="26" customHeight="1">
      <x:c r="A1" s="47" t="str">
        <x:v>Source追跡情報不足一覧 v0.1.1</x:v>
      </x:c>
      <x:c r="B1" s="47"/>
      <x:c r="C1" s="47"/>
      <x:c r="D1" s="47"/>
      <x:c r="E1" s="47"/>
      <x:c r="F1" s="47"/>
      <x:c r="G1" s="47"/>
      <x:c r="H1" s="47"/>
    </x:row>
    <x:row r="2" ht="32" customHeight="1">
      <x:c r="A2" s="53" t="str">
        <x:v>S01～S24について、該当箇所・取得日・保存媒体・保存ファイル・保存SHA-256の空欄を検査します。</x:v>
      </x:c>
      <x:c r="B2" s="53"/>
      <x:c r="C2" s="53"/>
      <x:c r="D2" s="53"/>
      <x:c r="E2" s="53"/>
      <x:c r="F2" s="53"/>
      <x:c r="G2" s="53"/>
      <x:c r="H2" s="53"/>
    </x:row>
    <x:row r="3">
      <x:c r="A3" s="71" t="str">
        <x:v>不足件数</x:v>
      </x:c>
      <x:c r="B3" s="71" t="n">
        <x:f>COUNTIF(G5:G28,"&lt;&gt;なし")</x:f>
        <x:v>0</x:v>
      </x:c>
      <x:c r="D3" s="71" t="str">
        <x:v>完了件数</x:v>
      </x:c>
      <x:c r="E3" s="71" t="n">
        <x:f>COUNTIF(H5:H28,"PASS")</x:f>
        <x:v>24</x:v>
      </x:c>
    </x:row>
    <x:row r="4" ht="34" customHeight="1">
      <x:c r="A4" s="61" t="str">
        <x:v>Source ID</x:v>
      </x:c>
      <x:c r="B4" s="61" t="str">
        <x:v>該当条文・判決名・頁・箇所</x:v>
      </x:c>
      <x:c r="C4" s="61" t="str">
        <x:v>取得日</x:v>
      </x:c>
      <x:c r="D4" s="61" t="str">
        <x:v>保存媒体</x:v>
      </x:c>
      <x:c r="E4" s="61" t="str">
        <x:v>保存ファイル</x:v>
      </x:c>
      <x:c r="F4" s="61" t="str">
        <x:v>保存SHA-256</x:v>
      </x:c>
      <x:c r="G4" s="61" t="str">
        <x:v>不足項目</x:v>
      </x:c>
      <x:c r="H4" s="61" t="str">
        <x:v>判定</x:v>
      </x:c>
    </x:row>
    <x:row r="5" ht="48" customHeight="1">
      <x:c r="A5" s="67" t="str">
        <x:v>S01</x:v>
      </x:c>
      <x:c r="B5" s="67" t="str">
        <x:v>第1条、第2条、第20条、第88条、第89条（Web法令、頁番号は該当なし）</x:v>
      </x:c>
      <x:c r="C5" s="67" t="str">
        <x:v>2026-07-30</x:v>
      </x:c>
      <x:c r="D5" s="67" t="str">
        <x:v>内部保存アーカイブ（UTF-8正規化スナップショット）</x:v>
      </x:c>
      <x:c r="E5" s="67" t="str">
        <x:v>sources/S01.txt</x:v>
      </x:c>
      <x:c r="F5" s="67" t="str">
        <x:v>c3fd74ebf0ba277c5043fdcba9ae68cd2c85ad2f887ae19b55a609725587c78f</x:v>
      </x:c>
      <x:c r="G5" s="67" t="str">
        <x:f>IF(COUNTA(B5:F5)=5,"なし","要確認")</x:f>
        <x:v>なし</x:v>
      </x:c>
      <x:c r="H5" s="67" t="str">
        <x:f>IF(G5="なし","PASS","FAIL")</x:f>
        <x:v>PASS</x:v>
      </x:c>
    </x:row>
    <x:row r="6" ht="48" customHeight="1">
      <x:c r="A6" s="68" t="str">
        <x:v>S02</x:v>
      </x:c>
      <x:c r="B6" s="68" t="str">
        <x:v>第1条、第2条、第4条、第18条、第85条（Web法令、頁番号は該当なし）</x:v>
      </x:c>
      <x:c r="C6" s="68" t="str">
        <x:v>2026-07-30</x:v>
      </x:c>
      <x:c r="D6" s="68" t="str">
        <x:v>内部保存アーカイブ（UTF-8正規化スナップショット）</x:v>
      </x:c>
      <x:c r="E6" s="68" t="str">
        <x:v>sources/S02.txt</x:v>
      </x:c>
      <x:c r="F6" s="68" t="str">
        <x:v>9c97e17dd28b2b60fb74ed23c1afd6f602a4b4b00fcab46d6844f99ad3995c94</x:v>
      </x:c>
      <x:c r="G6" s="68" t="str">
        <x:f>IF(COUNTA(B6:F6)=5,"なし","要確認")</x:f>
        <x:v>なし</x:v>
      </x:c>
      <x:c r="H6" s="68" t="str">
        <x:f>IF(G6="なし","PASS","FAIL")</x:f>
        <x:v>PASS</x:v>
      </x:c>
    </x:row>
    <x:row r="7" ht="48" customHeight="1">
      <x:c r="A7" s="67" t="str">
        <x:v>S03</x:v>
      </x:c>
      <x:c r="B7" s="67" t="str">
        <x:v>PDF pp.5–9（冊子pp.1–5）。第1条・第2条・第85条、責任役員制度（第18条）の解説</x:v>
      </x:c>
      <x:c r="C7" s="67" t="str">
        <x:v>2026-07-30</x:v>
      </x:c>
      <x:c r="D7" s="67" t="str">
        <x:v>内部保存アーカイブ（公式PDF原本）</x:v>
      </x:c>
      <x:c r="E7" s="67" t="str">
        <x:v>sources/S03.pdf</x:v>
      </x:c>
      <x:c r="F7" s="67" t="str">
        <x:v>db451801912d1f2dcdc2fff62fa64f8ab3194bf3cb9c47b8e0ce930414fb75ef</x:v>
      </x:c>
      <x:c r="G7" s="67" t="str">
        <x:f>IF(COUNTA(B7:F7)=5,"なし","要確認")</x:f>
        <x:v>なし</x:v>
      </x:c>
      <x:c r="H7" s="67" t="str">
        <x:f>IF(G7="なし","PASS","FAIL")</x:f>
        <x:v>PASS</x:v>
      </x:c>
    </x:row>
    <x:row r="8" ht="48" customHeight="1">
      <x:c r="A8" s="68" t="str">
        <x:v>S04</x:v>
      </x:c>
      <x:c r="B8" s="68" t="str">
        <x:v>最大判令和3年2月24日（令和元年（行ツ）第222号・同年（行ヒ）第262号）。PDF pp.5–9、特にp.6判断枠組み・p.9結論</x:v>
      </x:c>
      <x:c r="C8" s="68" t="str">
        <x:v>2026-07-30</x:v>
      </x:c>
      <x:c r="D8" s="68" t="str">
        <x:v>内部保存アーカイブ（公式PDF原本）</x:v>
      </x:c>
      <x:c r="E8" s="68" t="str">
        <x:v>sources/S04.pdf</x:v>
      </x:c>
      <x:c r="F8" s="68" t="str">
        <x:v>af0cb0cc483ee54c3524707b39fee0023548803c34da9b5e0a194ba2859a8b9c</x:v>
      </x:c>
      <x:c r="G8" s="68" t="str">
        <x:f>IF(COUNTA(B8:F8)=5,"なし","要確認")</x:f>
        <x:v>なし</x:v>
      </x:c>
      <x:c r="H8" s="68" t="str">
        <x:f>IF(G8="なし","PASS","FAIL")</x:f>
        <x:v>PASS</x:v>
      </x:c>
    </x:row>
    <x:row r="9" ht="48" customHeight="1">
      <x:c r="A9" s="67" t="str">
        <x:v>S05</x:v>
      </x:c>
      <x:c r="B9" s="67" t="str">
        <x:v>最大判平成22年1月20日（平成19年（行ツ）第260号）。PDF pp.6–10、特にpp.6–8判断枠組み・pp.9–10適用と結論</x:v>
      </x:c>
      <x:c r="C9" s="67" t="str">
        <x:v>2026-07-30</x:v>
      </x:c>
      <x:c r="D9" s="67" t="str">
        <x:v>内部保存アーカイブ（公式PDF原本）</x:v>
      </x:c>
      <x:c r="E9" s="67" t="str">
        <x:v>sources/S05.pdf</x:v>
      </x:c>
      <x:c r="F9" s="67" t="str">
        <x:v>8ff1db2fd88ffc3dc9fe83268bab9a67dc97eaa7488b64221b1cc155ce77e540</x:v>
      </x:c>
      <x:c r="G9" s="67" t="str">
        <x:f>IF(COUNTA(B9:F9)=5,"なし","要確認")</x:f>
        <x:v>なし</x:v>
      </x:c>
      <x:c r="H9" s="67" t="str">
        <x:f>IF(G9="なし","PASS","FAIL")</x:f>
        <x:v>PASS</x:v>
      </x:c>
    </x:row>
    <x:row r="10" ht="48" customHeight="1">
      <x:c r="A10" s="68" t="str">
        <x:v>S06</x:v>
      </x:c>
      <x:c r="B10" s="68" t="str">
        <x:v>「宮中三殿」「附属建物」「祭典」「掌典職」の各説明（Webページ、頁番号は該当なし）</x:v>
      </x:c>
      <x:c r="C10" s="68" t="str">
        <x:v>2026-07-30</x:v>
      </x:c>
      <x:c r="D10" s="68" t="str">
        <x:v>内部保存アーカイブ（UTF-8正規化スナップショット）</x:v>
      </x:c>
      <x:c r="E10" s="68" t="str">
        <x:v>sources/S06.txt</x:v>
      </x:c>
      <x:c r="F10" s="68" t="str">
        <x:v>24918358350b38855148884b2acf653aab5bd5a78c28f214091b9c5d428e34b2</x:v>
      </x:c>
      <x:c r="G10" s="68" t="str">
        <x:f>IF(COUNTA(B10:F10)=5,"なし","要確認")</x:f>
        <x:v>なし</x:v>
      </x:c>
      <x:c r="H10" s="68" t="str">
        <x:f>IF(G10="なし","PASS","FAIL")</x:f>
        <x:v>PASS</x:v>
      </x:c>
    </x:row>
    <x:row r="11" ht="48" customHeight="1">
      <x:c r="A11" s="67" t="str">
        <x:v>S07</x:v>
      </x:c>
      <x:c r="B11" s="67" t="str">
        <x:v>「書陵部（図書課・陵墓課）」「管理部」「正倉院事務所」の説明（Webページ、頁番号は該当なし）</x:v>
      </x:c>
      <x:c r="C11" s="67" t="str">
        <x:v>2026-07-30</x:v>
      </x:c>
      <x:c r="D11" s="67" t="str">
        <x:v>内部保存アーカイブ（UTF-8正規化スナップショット）</x:v>
      </x:c>
      <x:c r="E11" s="67" t="str">
        <x:v>sources/S07.txt</x:v>
      </x:c>
      <x:c r="F11" s="67" t="str">
        <x:v>ada2eb8d59b2f4c921396b7d99d8a0ef20b17fb5f33d2d65cfccf4c4c0334fd0</x:v>
      </x:c>
      <x:c r="G11" s="67" t="str">
        <x:f>IF(COUNTA(B11:F11)=5,"なし","要確認")</x:f>
        <x:v>なし</x:v>
      </x:c>
      <x:c r="H11" s="67" t="str">
        <x:f>IF(G11="なし","PASS","FAIL")</x:f>
        <x:v>PASS</x:v>
      </x:c>
    </x:row>
    <x:row r="12" ht="48" customHeight="1">
      <x:c r="A12" s="68" t="str">
        <x:v>S08</x:v>
      </x:c>
      <x:c r="B12" s="68" t="str">
        <x:v>書陵部の資料保存・整理・公開、陵墓の管理・調査に関する説明（Webページ、頁番号は該当なし）</x:v>
      </x:c>
      <x:c r="C12" s="68" t="str">
        <x:v>2026-07-30</x:v>
      </x:c>
      <x:c r="D12" s="68" t="str">
        <x:v>内部保存アーカイブ（UTF-8正規化スナップショット）</x:v>
      </x:c>
      <x:c r="E12" s="68" t="str">
        <x:v>sources/S08.txt</x:v>
      </x:c>
      <x:c r="F12" s="68" t="str">
        <x:v>2d728f165c8d07e7142eed4fcbc5a8993e1c21df28842d197f304fb1e05337fe</x:v>
      </x:c>
      <x:c r="G12" s="68" t="str">
        <x:f>IF(COUNTA(B12:F12)=5,"なし","要確認")</x:f>
        <x:v>なし</x:v>
      </x:c>
      <x:c r="H12" s="68" t="str">
        <x:f>IF(G12="なし","PASS","FAIL")</x:f>
        <x:v>PASS</x:v>
      </x:c>
    </x:row>
    <x:row r="13" ht="48" customHeight="1">
      <x:c r="A13" s="67" t="str">
        <x:v>S09</x:v>
      </x:c>
      <x:c r="B13" s="67" t="str">
        <x:v>「歴代天皇陵のご案内」および公式サブページ「陵墓参拝時の留意事項」</x:v>
      </x:c>
      <x:c r="C13" s="67" t="str">
        <x:v>2026-07-30</x:v>
      </x:c>
      <x:c r="D13" s="67" t="str">
        <x:v>内部保存アーカイブ（UTF-8正規化スナップショット）</x:v>
      </x:c>
      <x:c r="E13" s="67" t="str">
        <x:v>sources/S09.txt</x:v>
      </x:c>
      <x:c r="F13" s="67" t="str">
        <x:v>eb6cdf8a35a112b0f8d346abe6b0e09fd938aaac04c82ae5fd942d9a42d08abc</x:v>
      </x:c>
      <x:c r="G13" s="67" t="str">
        <x:f>IF(COUNTA(B13:F13)=5,"なし","要確認")</x:f>
        <x:v>なし</x:v>
      </x:c>
      <x:c r="H13" s="67" t="str">
        <x:f>IF(G13="なし","PASS","FAIL")</x:f>
        <x:v>PASS</x:v>
      </x:c>
    </x:row>
    <x:row r="14" ht="48" customHeight="1">
      <x:c r="A14" s="68" t="str">
        <x:v>S10</x:v>
      </x:c>
      <x:c r="B14" s="68" t="str">
        <x:v>「皇室財産」「皇室費（内廷費・皇族費・宮廷費）」「由緒ある物」の説明（Webページ、頁番号は該当なし）</x:v>
      </x:c>
      <x:c r="C14" s="68" t="str">
        <x:v>2026-07-30</x:v>
      </x:c>
      <x:c r="D14" s="68" t="str">
        <x:v>内部保存アーカイブ（UTF-8正規化スナップショット）</x:v>
      </x:c>
      <x:c r="E14" s="68" t="str">
        <x:v>sources/S10.txt</x:v>
      </x:c>
      <x:c r="F14" s="68" t="str">
        <x:v>ebd88186a21523f833377ba32832eeae6205cdcc5092242d831655568475668c</x:v>
      </x:c>
      <x:c r="G14" s="68" t="str">
        <x:f>IF(COUNTA(B14:F14)=5,"なし","要確認")</x:f>
        <x:v>なし</x:v>
      </x:c>
      <x:c r="H14" s="68" t="str">
        <x:f>IF(G14="なし","PASS","FAIL")</x:f>
        <x:v>PASS</x:v>
      </x:c>
    </x:row>
    <x:row r="15" ht="48" customHeight="1">
      <x:c r="A15" s="67" t="str">
        <x:v>S11</x:v>
      </x:c>
      <x:c r="B15" s="67" t="str">
        <x:v>第1条、第2条第11号～第14号・第18号（Web法令、頁番号は該当なし）</x:v>
      </x:c>
      <x:c r="C15" s="67" t="str">
        <x:v>2026-07-30</x:v>
      </x:c>
      <x:c r="D15" s="67" t="str">
        <x:v>内部保存アーカイブ（UTF-8正規化スナップショット）</x:v>
      </x:c>
      <x:c r="E15" s="67" t="str">
        <x:v>sources/S11.txt</x:v>
      </x:c>
      <x:c r="F15" s="67" t="str">
        <x:v>040c79c81ad24f763e7e0a98ec0ce91416beab27483e797ec4ebc518f3543de5</x:v>
      </x:c>
      <x:c r="G15" s="67" t="str">
        <x:f>IF(COUNTA(B15:F15)=5,"なし","要確認")</x:f>
        <x:v>なし</x:v>
      </x:c>
      <x:c r="H15" s="67" t="str">
        <x:f>IF(G15="なし","PASS","FAIL")</x:f>
        <x:v>PASS</x:v>
      </x:c>
    </x:row>
    <x:row r="16" ht="48" customHeight="1">
      <x:c r="A16" s="68" t="str">
        <x:v>S12</x:v>
      </x:c>
      <x:c r="B16" s="68" t="str">
        <x:v>第8条（書陵部）、第9条（管理部）、第20条～第24条（図書課・陵墓課・管理課等）（Web法令、頁番号は該当なし）</x:v>
      </x:c>
      <x:c r="C16" s="68" t="str">
        <x:v>2026-07-30</x:v>
      </x:c>
      <x:c r="D16" s="68" t="str">
        <x:v>内部保存アーカイブ（UTF-8正規化スナップショット）</x:v>
      </x:c>
      <x:c r="E16" s="68" t="str">
        <x:v>sources/S12.txt</x:v>
      </x:c>
      <x:c r="F16" s="68" t="str">
        <x:v>981d8a63709f2e5bb52add7ae523e79060a83eda0c186e4303961b98ceb2f8b3</x:v>
      </x:c>
      <x:c r="G16" s="68" t="str">
        <x:f>IF(COUNTA(B16:F16)=5,"なし","要確認")</x:f>
        <x:v>なし</x:v>
      </x:c>
      <x:c r="H16" s="68" t="str">
        <x:f>IF(G16="なし","PASS","FAIL")</x:f>
        <x:v>PASS</x:v>
      </x:c>
    </x:row>
    <x:row r="17" ht="48" customHeight="1">
      <x:c r="A17" s="67" t="str">
        <x:v>S13</x:v>
      </x:c>
      <x:c r="B17" s="67" t="str">
        <x:v>第1条～第4条、第5条～第15条、第26条、第27条（Web法令、頁番号は該当なし）</x:v>
      </x:c>
      <x:c r="C17" s="67" t="str">
        <x:v>2026-07-30</x:v>
      </x:c>
      <x:c r="D17" s="67" t="str">
        <x:v>内部保存アーカイブ（UTF-8正規化スナップショット）</x:v>
      </x:c>
      <x:c r="E17" s="67" t="str">
        <x:v>sources/S13.txt</x:v>
      </x:c>
      <x:c r="F17" s="67" t="str">
        <x:v>db5a91cec0e5a13f5a6f5425fc52c8acd0c77ffc9a7f32daa7cc2ea327d2d26c</x:v>
      </x:c>
      <x:c r="G17" s="67" t="str">
        <x:f>IF(COUNTA(B17:F17)=5,"なし","要確認")</x:f>
        <x:v>なし</x:v>
      </x:c>
      <x:c r="H17" s="67" t="str">
        <x:f>IF(G17="なし","PASS","FAIL")</x:f>
        <x:v>PASS</x:v>
      </x:c>
    </x:row>
    <x:row r="18" ht="48" customHeight="1">
      <x:c r="A18" s="68" t="str">
        <x:v>S14</x:v>
      </x:c>
      <x:c r="B18" s="68" t="str">
        <x:v>第1条第15号（法令上の称号の詐称）（Web法令、頁番号は該当なし）</x:v>
      </x:c>
      <x:c r="C18" s="68" t="str">
        <x:v>2026-07-30</x:v>
      </x:c>
      <x:c r="D18" s="68" t="str">
        <x:v>内部保存アーカイブ（UTF-8正規化スナップショット）</x:v>
      </x:c>
      <x:c r="E18" s="68" t="str">
        <x:v>sources/S14.txt</x:v>
      </x:c>
      <x:c r="F18" s="68" t="str">
        <x:v>b163b78014e8758e717a4e2a3eccdabe222361bfee1e625359e857e95b2333db</x:v>
      </x:c>
      <x:c r="G18" s="68" t="str">
        <x:f>IF(COUNTA(B18:F18)=5,"なし","要確認")</x:f>
        <x:v>なし</x:v>
      </x:c>
      <x:c r="H18" s="68" t="str">
        <x:f>IF(G18="なし","PASS","FAIL")</x:f>
        <x:v>PASS</x:v>
      </x:c>
    </x:row>
    <x:row r="19" ht="48" customHeight="1">
      <x:c r="A19" s="67" t="str">
        <x:v>S15</x:v>
      </x:c>
      <x:c r="B19" s="67" t="str">
        <x:v>「行政財産の使用許可制度」「手続」「国有財産法第18条第6項」の説明（Webページ、頁番号は該当なし）</x:v>
      </x:c>
      <x:c r="C19" s="67" t="str">
        <x:v>2026-07-30</x:v>
      </x:c>
      <x:c r="D19" s="67" t="str">
        <x:v>内部保存アーカイブ（UTF-8正規化スナップショット）</x:v>
      </x:c>
      <x:c r="E19" s="67" t="str">
        <x:v>sources/S15.txt</x:v>
      </x:c>
      <x:c r="F19" s="67" t="str">
        <x:v>b01b2e67fb00dd79808be4e3816de7358084eb24dc48d71bc5210e416f277866</x:v>
      </x:c>
      <x:c r="G19" s="67" t="str">
        <x:f>IF(COUNTA(B19:F19)=5,"なし","要確認")</x:f>
        <x:v>なし</x:v>
      </x:c>
      <x:c r="H19" s="67" t="str">
        <x:f>IF(G19="なし","PASS","FAIL")</x:f>
        <x:v>PASS</x:v>
      </x:c>
    </x:row>
    <x:row r="20" ht="48" customHeight="1">
      <x:c r="A20" s="68" t="str">
        <x:v>S16</x:v>
      </x:c>
      <x:c r="B20" s="68" t="str">
        <x:v>第35条（重要文化財の管理又は修理の補助）（Web法令、頁番号は該当なし）</x:v>
      </x:c>
      <x:c r="C20" s="68" t="str">
        <x:v>2026-07-30</x:v>
      </x:c>
      <x:c r="D20" s="68" t="str">
        <x:v>内部保存アーカイブ（UTF-8正規化スナップショット）</x:v>
      </x:c>
      <x:c r="E20" s="68" t="str">
        <x:v>sources/S16.txt</x:v>
      </x:c>
      <x:c r="F20" s="68" t="str">
        <x:v>75b5143f9dacd89ec94c3c29db11a6450f51c9a1c20d1dec7f48e9917d103c47</x:v>
      </x:c>
      <x:c r="G20" s="68" t="str">
        <x:f>IF(COUNTA(B20:F20)=5,"なし","要確認")</x:f>
        <x:v>なし</x:v>
      </x:c>
      <x:c r="H20" s="68" t="str">
        <x:f>IF(G20="なし","PASS","FAIL")</x:f>
        <x:v>PASS</x:v>
      </x:c>
    </x:row>
    <x:row r="21" ht="48" customHeight="1">
      <x:c r="A21" s="67" t="str">
        <x:v>S17</x:v>
      </x:c>
      <x:c r="B21" s="67" t="str">
        <x:v>文化財の指定・選定・登録、修理・防災・公開等に関する制度説明（Webページ、頁番号は該当なし）</x:v>
      </x:c>
      <x:c r="C21" s="67" t="str">
        <x:v>2026-07-30</x:v>
      </x:c>
      <x:c r="D21" s="67" t="str">
        <x:v>内部保存アーカイブ（UTF-8正規化スナップショット）</x:v>
      </x:c>
      <x:c r="E21" s="67" t="str">
        <x:v>sources/S17.txt</x:v>
      </x:c>
      <x:c r="F21" s="67" t="str">
        <x:v>6defae3d7c6ee442a5d829bc651a2e117a738e53bb02da569ee707981a033aae</x:v>
      </x:c>
      <x:c r="G21" s="67" t="str">
        <x:f>IF(COUNTA(B21:F21)=5,"なし","要確認")</x:f>
        <x:v>なし</x:v>
      </x:c>
      <x:c r="H21" s="67" t="str">
        <x:f>IF(G21="なし","PASS","FAIL")</x:f>
        <x:v>PASS</x:v>
      </x:c>
    </x:row>
    <x:row r="22" ht="48" customHeight="1">
      <x:c r="A22" s="68" t="str">
        <x:v>S18</x:v>
      </x:c>
      <x:c r="B22" s="68" t="str">
        <x:v>事業目的、地域文化遺産・無形文化・用具整備・後継者養成等の事業区分（Webページ、頁番号は該当なし）</x:v>
      </x:c>
      <x:c r="C22" s="68" t="str">
        <x:v>2026-07-30</x:v>
      </x:c>
      <x:c r="D22" s="68" t="str">
        <x:v>内部保存アーカイブ（UTF-8正規化スナップショット）</x:v>
      </x:c>
      <x:c r="E22" s="68" t="str">
        <x:v>sources/S18.txt</x:v>
      </x:c>
      <x:c r="F22" s="68" t="str">
        <x:v>10f60a50397ebc00b03998291d0e511f45c28e3ccb821f8dba19102f168326d1</x:v>
      </x:c>
      <x:c r="G22" s="68" t="str">
        <x:f>IF(COUNTA(B22:F22)=5,"なし","要確認")</x:f>
        <x:v>なし</x:v>
      </x:c>
      <x:c r="H22" s="68" t="str">
        <x:f>IF(G22="なし","PASS","FAIL")</x:f>
        <x:v>PASS</x:v>
      </x:c>
    </x:row>
    <x:row r="23" ht="48" customHeight="1">
      <x:c r="A23" s="67" t="str">
        <x:v>S19</x:v>
      </x:c>
      <x:c r="B23" s="67" t="str">
        <x:v>第101回国会 参議院 内閣委員会 第5号（昭和59年4月12日）、発言番号74～78（特に78）</x:v>
      </x:c>
      <x:c r="C23" s="67" t="str">
        <x:v>2026-07-30</x:v>
      </x:c>
      <x:c r="D23" s="67" t="str">
        <x:v>内部保存アーカイブ（UTF-8正規化スナップショット）</x:v>
      </x:c>
      <x:c r="E23" s="67" t="str">
        <x:v>sources/S19.txt</x:v>
      </x:c>
      <x:c r="F23" s="67" t="str">
        <x:v>9bd924c7438809aead8b44213545c331a391169ce77d3dbc9ac59271fd719bee</x:v>
      </x:c>
      <x:c r="G23" s="67" t="str">
        <x:f>IF(COUNTA(B23:F23)=5,"なし","要確認")</x:f>
        <x:v>なし</x:v>
      </x:c>
      <x:c r="H23" s="67" t="str">
        <x:f>IF(G23="なし","PASS","FAIL")</x:f>
        <x:v>PASS</x:v>
      </x:c>
    </x:row>
    <x:row r="24" ht="48" customHeight="1">
      <x:c r="A24" s="68" t="str">
        <x:v>S20</x:v>
      </x:c>
      <x:c r="B24" s="68" t="str">
        <x:v>商標法第4条第1項第1号の説明「国旗、菊花紋章等」（Webページ・公式資料、頁番号は該当なし）</x:v>
      </x:c>
      <x:c r="C24" s="68" t="str">
        <x:v>2026-07-30</x:v>
      </x:c>
      <x:c r="D24" s="68" t="str">
        <x:v>内部保存アーカイブ（UTF-8正規化スナップショット）</x:v>
      </x:c>
      <x:c r="E24" s="68" t="str">
        <x:v>sources/S20.txt</x:v>
      </x:c>
      <x:c r="F24" s="68" t="str">
        <x:v>74905daea9beb6d4bf69afecac291dc345239eea8754b7926818e124b96a4ee1</x:v>
      </x:c>
      <x:c r="G24" s="68" t="str">
        <x:f>IF(COUNTA(B24:F24)=5,"なし","要確認")</x:f>
        <x:v>なし</x:v>
      </x:c>
      <x:c r="H24" s="68" t="str">
        <x:f>IF(G24="なし","PASS","FAIL")</x:f>
        <x:v>PASS</x:v>
      </x:c>
    </x:row>
    <x:row r="25" ht="48" customHeight="1">
      <x:c r="A25" s="67" t="str">
        <x:v>S21</x:v>
      </x:c>
      <x:c r="B25" s="67" t="str">
        <x:v>第2条（退位と皇嗣の即位）、第3条（上皇）（Web法令、頁番号は該当なし）</x:v>
      </x:c>
      <x:c r="C25" s="67" t="str">
        <x:v>2026-07-30</x:v>
      </x:c>
      <x:c r="D25" s="67" t="str">
        <x:v>内部保存アーカイブ（UTF-8正規化スナップショット）</x:v>
      </x:c>
      <x:c r="E25" s="67" t="str">
        <x:v>sources/S21.txt</x:v>
      </x:c>
      <x:c r="F25" s="67" t="str">
        <x:v>422d5167c193e8ba4e68a13b75cbf172281a8702ac993219c3732e4f4304e2d6</x:v>
      </x:c>
      <x:c r="G25" s="67" t="str">
        <x:f>IF(COUNTA(B25:F25)=5,"なし","要確認")</x:f>
        <x:v>なし</x:v>
      </x:c>
      <x:c r="H25" s="67" t="str">
        <x:f>IF(G25="なし","PASS","FAIL")</x:f>
        <x:v>PASS</x:v>
      </x:c>
    </x:row>
    <x:row r="26" ht="48" customHeight="1">
      <x:c r="A26" s="68" t="str">
        <x:v>S22</x:v>
      </x:c>
      <x:c r="B26" s="68" t="str">
        <x:v>第7条（皇位とともに伝わるべき由緒ある物）（Web法令、頁番号は該当なし）</x:v>
      </x:c>
      <x:c r="C26" s="68" t="str">
        <x:v>2026-07-30</x:v>
      </x:c>
      <x:c r="D26" s="68" t="str">
        <x:v>内部保存アーカイブ（UTF-8正規化スナップショット）</x:v>
      </x:c>
      <x:c r="E26" s="68" t="str">
        <x:v>sources/S22.txt</x:v>
      </x:c>
      <x:c r="F26" s="68" t="str">
        <x:v>3357324bc846469866769059b3a7f4b9129b7fe9c26065bb71e054548d363e9f</x:v>
      </x:c>
      <x:c r="G26" s="68" t="str">
        <x:f>IF(COUNTA(B26:F26)=5,"なし","要確認")</x:f>
        <x:v>なし</x:v>
      </x:c>
      <x:c r="H26" s="68" t="str">
        <x:f>IF(G26="なし","PASS","FAIL")</x:f>
        <x:v>PASS</x:v>
      </x:c>
    </x:row>
    <x:row r="27" ht="48" customHeight="1">
      <x:c r="A27" s="67" t="str">
        <x:v>S23</x:v>
      </x:c>
      <x:c r="B27" s="67" t="str">
        <x:v>第3条第2項第3号、第13条、第18条第6項（Web法令、頁番号は該当なし）</x:v>
      </x:c>
      <x:c r="C27" s="67" t="str">
        <x:v>2026-07-30</x:v>
      </x:c>
      <x:c r="D27" s="67" t="str">
        <x:v>内部保存アーカイブ（UTF-8正規化スナップショット）</x:v>
      </x:c>
      <x:c r="E27" s="67" t="str">
        <x:v>sources/S23.txt</x:v>
      </x:c>
      <x:c r="F27" s="67" t="str">
        <x:v>cf44b390d1eadf6dd77cca51b90a9b835fffe72e5a6262e63573461bc57cf289</x:v>
      </x:c>
      <x:c r="G27" s="67" t="str">
        <x:f>IF(COUNTA(B27:F27)=5,"なし","要確認")</x:f>
        <x:v>なし</x:v>
      </x:c>
      <x:c r="H27" s="67" t="str">
        <x:f>IF(G27="なし","PASS","FAIL")</x:f>
        <x:v>PASS</x:v>
      </x:c>
    </x:row>
    <x:row r="28" ht="48" customHeight="1">
      <x:c r="A28" s="68" t="str">
        <x:v>S24</x:v>
      </x:c>
      <x:c r="B28" s="68" t="str">
        <x:v>皇室用財産の定義および皇居・正倉院・陵墓等の一覧（Webページ、頁番号は該当なし）</x:v>
      </x:c>
      <x:c r="C28" s="68" t="str">
        <x:v>2026-07-30</x:v>
      </x:c>
      <x:c r="D28" s="68" t="str">
        <x:v>内部保存アーカイブ（UTF-8正規化スナップショット）</x:v>
      </x:c>
      <x:c r="E28" s="68" t="str">
        <x:v>sources/S24.txt</x:v>
      </x:c>
      <x:c r="F28" s="68" t="str">
        <x:v>a41f5c6d3d1d7e81a0a789bb66b1b071be98ce901a43293dbfc73cf2bd81f342</x:v>
      </x:c>
      <x:c r="G28" s="68" t="str">
        <x:f>IF(COUNTA(B28:F28)=5,"なし","要確認")</x:f>
        <x:v>なし</x:v>
      </x:c>
      <x:c r="H28" s="68" t="str">
        <x:f>IF(G28="なし","PASS","FAIL")</x:f>
        <x:v>PASS</x:v>
      </x:c>
    </x:row>
  </x:sheetData>
  <x:mergeCells>
    <x:mergeCell ref="A1:H1"/>
    <x:mergeCell ref="A2:H2"/>
  </x:mergeCells>
  <x:conditionalFormatting sqref="H5:H28">
    <x:cfRule type="expression" dxfId="5" priority="1">
      <x:formula>H5="FAIL"</x:formula>
    </x:cfRule>
    <x:cfRule type="expression" dxfId="6" priority="2">
      <x:formula>H5="PASS"</x:formula>
    </x:cfRule>
  </x:conditionalFormatting>
  <x:pageMargins left="0.7" right="0.7" top="0.75" bottom="0.75" header="0.3" footer="0.3"/>
</x:worksheet>
</file>